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Reverse DCF" sheetId="3" state="visible" r:id="rId5"/>
    <sheet name="Assumptions" sheetId="4" state="visible" r:id="rId6"/>
    <sheet name="ARR Model" sheetId="5" state="visible" r:id="rId7"/>
    <sheet name="DCF" sheetId="6" state="visible" r:id="rId8"/>
    <sheet name="Sensitivit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Year-0 value = gross new-customer ARR over the last 12 months (Inputs!B35).</t>
        </r>
      </text>
    </comment>
    <comment ref="B22" authorId="0">
      <text>
        <r>
          <rPr>
            <sz val="10"/>
            <rFont val="Arial"/>
            <family val="2"/>
          </rPr>
          <t xml:space="preserve">Year 0 column = last-twelve-months actuals.</t>
        </r>
      </text>
    </comment>
  </commentList>
</comments>
</file>

<file path=xl/sharedStrings.xml><?xml version="1.0" encoding="utf-8"?>
<sst xmlns="http://schemas.openxmlformats.org/spreadsheetml/2006/main" count="273" uniqueCount="248">
  <si>
    <t xml:space="preserve">What is Docebo's stock price secretly betting on?</t>
  </si>
  <si>
    <t xml:space="preserve">A reverse DCF at the customer level: which churn rate makes today's share price make sense?</t>
  </si>
  <si>
    <t xml:space="preserve">THE IDEA IN ONE BREATH</t>
  </si>
  <si>
    <t xml:space="preserve">Normal model: assumptions -&gt; value.  Reverse model: today's price -&gt; the assumption the market must believe.</t>
  </si>
  <si>
    <t xml:space="preserve">We hold everything else at the company's real numbers and ask: how much ARR would have to cancel every year for the stock to be fairly priced?</t>
  </si>
  <si>
    <t xml:space="preserve">HOW THE TABS FLOW</t>
  </si>
  <si>
    <t xml:space="preserve">1. Inputs       - real numbers from Docebo's filings (8 quarters) + today's price. Every figure has a source.</t>
  </si>
  <si>
    <t xml:space="preserve">2. Assumptions  - the forecast levers. The yellow CHURN cell is the one the reverse DCF solves for.</t>
  </si>
  <si>
    <t xml:space="preserve">3. ARR Model    - 10 years: Starting ARR + new ARR + expansion - churn = Ending ARR -&gt; revenue -&gt; EBITDA -&gt; free cash flow.</t>
  </si>
  <si>
    <t xml:space="preserve">4. DCF          - shrink each year's cash to today's dollars, add a terminal value, add cash, subtract debt, divide by shares.</t>
  </si>
  <si>
    <t xml:space="preserve">5. Reverse DCF  - THE ANSWER: market-implied churn vs. reported churn, solved automatically (no macro needed).</t>
  </si>
  <si>
    <t xml:space="preserve">6. Sensitivity  - share price for every combination of churn (down the side) and discount rate (across the top).</t>
  </si>
  <si>
    <t xml:space="preserve">7. Tracker      - log each run. After Q3-2026 results (early Nov 2026) update Inputs and add a row: did the bet change?</t>
  </si>
  <si>
    <t xml:space="preserve">COLOR CODE</t>
  </si>
  <si>
    <t xml:space="preserve">Blue text = hard-coded input  |  Black = formula  |  Green = link from another tab  |  Yellow = key lever  |  Light green = answer</t>
  </si>
  <si>
    <t xml:space="preserve">DO THE EXCEL SKILLS YOURSELF (interview practice)</t>
  </si>
  <si>
    <t xml:space="preserve">GOAL SEEK:  Data -&gt; What-If Analysis -&gt; Goal Seek.  Set cell: DCF!C22   To value: 33.22   By changing: Assumptions!C5.  Click OK.</t>
  </si>
  <si>
    <t xml:space="preserve">   Excel changes the churn cell until the model price equals the market price. Compare with the answer on the Reverse DCF tab (they should match).</t>
  </si>
  <si>
    <t xml:space="preserve">   Then press Ctrl+Z (or retype 9%) to put churn back.</t>
  </si>
  <si>
    <t xml:space="preserve">DATA TABLE:  on an empty sheet, put =DCF!C22 in the top-left cell, churn rates down the column below it, discount rates across the row to its right.</t>
  </si>
  <si>
    <t xml:space="preserve">   Select the whole block -&gt; Data -&gt; What-If Analysis -&gt; Data Table.  Row input cell: Assumptions!C13.  Column input cell: Assumptions!C5.</t>
  </si>
  <si>
    <t xml:space="preserve">   Your grid should match the Sensitivity tab (which is built with plain formulas so it also works in Google Sheets).</t>
  </si>
  <si>
    <t xml:space="preserve">IMPORTANT CAVEATS</t>
  </si>
  <si>
    <t xml:space="preserve">- Figures were collected from Docebo press releases via news/search summaries. Before you share this, re-check each blue number against the filings on sedarplus.ca.</t>
  </si>
  <si>
    <t xml:space="preserve">- Docebo reports in US dollars; the TSX price is in Canadian dollars, so the model converts with the USD/CAD rate on Inputs.</t>
  </si>
  <si>
    <t xml:space="preserve">- Docebo does not report gross churn. 'Reported churn' = expansion assumption + (1 - reported net revenue retention). If you change expansion, both sides move together.</t>
  </si>
  <si>
    <t xml:space="preserve">- Adjusted EBITDA excludes stock-based compensation, which is a real cost to shareholders. That makes this DCF a bit generous.</t>
  </si>
  <si>
    <t xml:space="preserve">- Solving for churn only is a lens: the market's worry might really be slower new sales or lower margins. We translate all of it into 'churn language'.</t>
  </si>
  <si>
    <t xml:space="preserve">Inputs - Docebo Inc. (TSX: DCBO) reported figures</t>
  </si>
  <si>
    <t xml:space="preserve">US$ millions unless stated. Blue = typed from filings. Source column says where each came from.</t>
  </si>
  <si>
    <t xml:space="preserve">Market &amp; balance sheet</t>
  </si>
  <si>
    <t xml:space="preserve">Value</t>
  </si>
  <si>
    <t xml:space="preserve">Unit</t>
  </si>
  <si>
    <t xml:space="preserve">Source / note</t>
  </si>
  <si>
    <t xml:space="preserve">Share price (TSX: DCBO)</t>
  </si>
  <si>
    <t xml:space="preserve">C$</t>
  </si>
  <si>
    <t xml:space="preserve">TMX Money / Investing.com, close 17-Sep-2026. UPDATE before each run.</t>
  </si>
  <si>
    <t xml:space="preserve">Shares outstanding</t>
  </si>
  <si>
    <t xml:space="preserve">millions</t>
  </si>
  <si>
    <t xml:space="preserve">Post-SIB count per Docebo SIB filing (Jul/Aug 2026): ~24,947,594 common shares</t>
  </si>
  <si>
    <t xml:space="preserve">USD/CAD exchange rate</t>
  </si>
  <si>
    <t xml:space="preserve">C$ per US$</t>
  </si>
  <si>
    <t xml:space="preserve">Mid/late Sep-2026 range 1.406-1.420 (Trading Economics). Match the price date.</t>
  </si>
  <si>
    <t xml:space="preserve">Market capitalization</t>
  </si>
  <si>
    <t xml:space="preserve">C$ m</t>
  </si>
  <si>
    <t xml:space="preserve">Price x shares</t>
  </si>
  <si>
    <t xml:space="preserve">Cash &amp; cash equivalents</t>
  </si>
  <si>
    <t xml:space="preserve">US$ m</t>
  </si>
  <si>
    <t xml:space="preserve">Q2-2026 release, as at 30-Jun-2026</t>
  </si>
  <si>
    <t xml:space="preserve">Total borrowings (debt)</t>
  </si>
  <si>
    <t xml:space="preserve">Net debt</t>
  </si>
  <si>
    <t xml:space="preserve">Debt - cash</t>
  </si>
  <si>
    <t xml:space="preserve">Gross margin (Q2-2026)</t>
  </si>
  <si>
    <t xml:space="preserve">%</t>
  </si>
  <si>
    <t xml:space="preserve">Q2-2026 release: 79.4% of revenue</t>
  </si>
  <si>
    <t xml:space="preserve">Net revenue retention (FY2025, reported)</t>
  </si>
  <si>
    <t xml:space="preserve">Q4-2025 call: net dollar retention 99% incl. AWS</t>
  </si>
  <si>
    <t xml:space="preserve">Net revenue retention ex-AWS (FY2025)</t>
  </si>
  <si>
    <t xml:space="preserve">Q4-2025 call: 101% excluding the AWS (largest OEM customer) wind-down</t>
  </si>
  <si>
    <t xml:space="preserve">Quarterly history (US$ m)</t>
  </si>
  <si>
    <t xml:space="preserve">Q3-24</t>
  </si>
  <si>
    <t xml:space="preserve">Q4-24</t>
  </si>
  <si>
    <t xml:space="preserve">Q1-25</t>
  </si>
  <si>
    <t xml:space="preserve">Q2-25</t>
  </si>
  <si>
    <t xml:space="preserve">Q3-25</t>
  </si>
  <si>
    <t xml:space="preserve">Q4-25</t>
  </si>
  <si>
    <t xml:space="preserve">Q1-26</t>
  </si>
  <si>
    <t xml:space="preserve">Q2-26</t>
  </si>
  <si>
    <t xml:space="preserve">ARR (annual recurring revenue)</t>
  </si>
  <si>
    <t xml:space="preserve">Quarterly releases. Q2-25 derived: Q2-26 ARR $255.1m was +9.5% YoY -&gt; 255.1/1.095</t>
  </si>
  <si>
    <t xml:space="preserve">Total revenue</t>
  </si>
  <si>
    <t xml:space="preserve">Releases. Q1-25..Q4-25 derived as reported FCF / reported FCF margin (cross-checks to FY25 FCF $38.4m = 15.8%)</t>
  </si>
  <si>
    <t xml:space="preserve">Adjusted EBITDA</t>
  </si>
  <si>
    <t xml:space="preserve">Releases. Q1-26 is an ESTIMATE (~17% margin per Q1-26 slides x revenue). Q1-25 not needed.</t>
  </si>
  <si>
    <t xml:space="preserve">Free cash flow (cash from ops - capex)</t>
  </si>
  <si>
    <t xml:space="preserve">Releases (company-defined FCF). Q1-26 boosted by customer prepayments; Q2-26 low - use LTM to smooth.</t>
  </si>
  <si>
    <t xml:space="preserve">FCF margin (%)</t>
  </si>
  <si>
    <t xml:space="preserve">Adj. EBITDA margin (%)</t>
  </si>
  <si>
    <t xml:space="preserve">ARR growth vs. same quarter last year (%)</t>
  </si>
  <si>
    <t xml:space="preserve">Derived: last twelve months (LTM = Q3-25 to Q2-26)</t>
  </si>
  <si>
    <t xml:space="preserve">How</t>
  </si>
  <si>
    <t xml:space="preserve">LTM revenue</t>
  </si>
  <si>
    <t xml:space="preserve">Sum of last 4 quarters</t>
  </si>
  <si>
    <t xml:space="preserve">LTM adjusted EBITDA</t>
  </si>
  <si>
    <t xml:space="preserve">LTM free cash flow</t>
  </si>
  <si>
    <t xml:space="preserve">LTM EBITDA margin</t>
  </si>
  <si>
    <t xml:space="preserve">Starting point for the margin ramp</t>
  </si>
  <si>
    <t xml:space="preserve">LTM FCF margin</t>
  </si>
  <si>
    <t xml:space="preserve">FCF conversion now (FCF / EBITDA)</t>
  </si>
  <si>
    <t xml:space="preserve">How much of EBITDA becomes cash today</t>
  </si>
  <si>
    <t xml:space="preserve">ARR now (30-Jun-2026)</t>
  </si>
  <si>
    <t xml:space="preserve">Model starting point</t>
  </si>
  <si>
    <t xml:space="preserve">ARR one year ago (30-Jun-2025)</t>
  </si>
  <si>
    <t xml:space="preserve">Net new ARR, last 12 months</t>
  </si>
  <si>
    <t xml:space="preserve">Ending - starting</t>
  </si>
  <si>
    <t xml:space="preserve">Gross new-customer ARR, last 12 months</t>
  </si>
  <si>
    <t xml:space="preserve">Net new ARR + ARR lost to net churn. Uses REPORTED retention, so it doesn't move when you change the churn lever</t>
  </si>
  <si>
    <t xml:space="preserve">Revenue per $1 of average ARR</t>
  </si>
  <si>
    <t xml:space="preserve">Revenue also includes services, so it is a bit above ARR</t>
  </si>
  <si>
    <t xml:space="preserve">Enterprise value the market pays (US$ m)</t>
  </si>
  <si>
    <t xml:space="preserve">Market cap in US$ + net debt</t>
  </si>
  <si>
    <t xml:space="preserve">EV / ARR</t>
  </si>
  <si>
    <t xml:space="preserve">What investors pay per $1 of ARR</t>
  </si>
  <si>
    <t xml:space="preserve">EV / LTM free cash flow</t>
  </si>
  <si>
    <t xml:space="preserve">Reverse DCF - the churn rate today's price is betting on</t>
  </si>
  <si>
    <t xml:space="preserve">Solved with a live formula: the price is computed for churn from 0% to 50% below, then we find where it crosses the market price.</t>
  </si>
  <si>
    <t xml:space="preserve">Market price today (C$)</t>
  </si>
  <si>
    <t xml:space="preserve">MARKET-IMPLIED CHURN (per year)</t>
  </si>
  <si>
    <t xml:space="preserve">Reported-equivalent churn (per year)</t>
  </si>
  <si>
    <t xml:space="preserve">Gap: implied minus reported (percentage points)</t>
  </si>
  <si>
    <t xml:space="preserve">Market-implied net revenue retention</t>
  </si>
  <si>
    <t xml:space="preserve">Reported net revenue retention (FY2025)</t>
  </si>
  <si>
    <t xml:space="preserve">Model price at reported churn (C$)</t>
  </si>
  <si>
    <t xml:space="preserve">Check: model price at implied churn (C$) - should equal market</t>
  </si>
  <si>
    <t xml:space="preserve">How to read it: implied churn HIGHER than reported = market pessimistic (stock may be cheap if you trust the numbers). LOWER = market optimistic.</t>
  </si>
  <si>
    <t xml:space="preserve">Cross-check with Goal Seek (see Start Here). The two answers should agree to about 0.1 percentage point.</t>
  </si>
  <si>
    <t xml:space="preserve">Engine: price for each churn rate (same maths as ARR Model + DCF, one row per churn)</t>
  </si>
  <si>
    <t xml:space="preserve">Churn</t>
  </si>
  <si>
    <t xml:space="preserve">ARR Y0</t>
  </si>
  <si>
    <t xml:space="preserve">ARR Y1</t>
  </si>
  <si>
    <t xml:space="preserve">ARR Y2</t>
  </si>
  <si>
    <t xml:space="preserve">ARR Y3</t>
  </si>
  <si>
    <t xml:space="preserve">ARR Y4</t>
  </si>
  <si>
    <t xml:space="preserve">ARR Y5</t>
  </si>
  <si>
    <t xml:space="preserve">ARR Y6</t>
  </si>
  <si>
    <t xml:space="preserve">ARR Y7</t>
  </si>
  <si>
    <t xml:space="preserve">ARR Y8</t>
  </si>
  <si>
    <t xml:space="preserve">ARR Y9</t>
  </si>
  <si>
    <t xml:space="preserve">ARR Y10</t>
  </si>
  <si>
    <t xml:space="preserve">EV (US$m)</t>
  </si>
  <si>
    <t xml:space="preserve">Price C$</t>
  </si>
  <si>
    <t xml:space="preserve">Checks</t>
  </si>
  <si>
    <t xml:space="preserve">&lt;- at reported churn</t>
  </si>
  <si>
    <t xml:space="preserve">&lt;- at implied churn</t>
  </si>
  <si>
    <t xml:space="preserve">&lt;- at the churn in Assumptions!C5 (must equal DCF!C18)</t>
  </si>
  <si>
    <t xml:space="preserve">Assumptions - forecast levers</t>
  </si>
  <si>
    <t xml:space="preserve">Change a blue cell and every tab updates. C5 (churn) is the lever the reverse DCF solves for.</t>
  </si>
  <si>
    <t xml:space="preserve">Lever</t>
  </si>
  <si>
    <t xml:space="preserve">Why this number</t>
  </si>
  <si>
    <t xml:space="preserve">Gross ARR churn per year (% of starting ARR lost)</t>
  </si>
  <si>
    <t xml:space="preserve">Starts equal to the churn implied by reported retention (C16). Goal Seek changes THIS cell.</t>
  </si>
  <si>
    <t xml:space="preserve">Expansion per year (% of starting ARR from upsells)</t>
  </si>
  <si>
    <t xml:space="preserve">Not disclosed. Assumption typical of mid-market SaaS. With NRR 99% it implies ~9% gross churn.</t>
  </si>
  <si>
    <t xml:space="preserve">Growth in new-customer ARR, Year 1</t>
  </si>
  <si>
    <t xml:space="preserve">Management cites strongest gross bookings since 2021 and ARR re-acceleration in 2026.</t>
  </si>
  <si>
    <t xml:space="preserve">Growth in new-customer ARR, Year 10</t>
  </si>
  <si>
    <t xml:space="preserve">Fades in a straight line to long-run economy growth.</t>
  </si>
  <si>
    <t xml:space="preserve">Adj. EBITDA margin, long-term target</t>
  </si>
  <si>
    <t xml:space="preserve">LTM is ~19%; Q3-26 guidance implies ~23%. Mature profitable SaaS often runs 25-35%.</t>
  </si>
  <si>
    <t xml:space="preserve">FCF conversion (FCF / EBITDA), long-term</t>
  </si>
  <si>
    <t xml:space="preserve">Today ~100% (low cash taxes, prepayments). Falls as cash taxes rise.</t>
  </si>
  <si>
    <t xml:space="preserve">Years to reach long-term margin &amp; conversion</t>
  </si>
  <si>
    <t xml:space="preserve">Straight-line ramp from today's LTM figures.</t>
  </si>
  <si>
    <t xml:space="preserve">Gross margin (for display)</t>
  </si>
  <si>
    <t xml:space="preserve">Linked from Inputs</t>
  </si>
  <si>
    <t xml:space="preserve">Discount rate (required return per year)</t>
  </si>
  <si>
    <t xml:space="preserve">Starting point per project brief. See Sensitivity tab for 8-12%.</t>
  </si>
  <si>
    <t xml:space="preserve">Terminal growth rate (forever after Year 10)</t>
  </si>
  <si>
    <t xml:space="preserve">About long-run inflation + real growth. Must be below the discount rate.</t>
  </si>
  <si>
    <t xml:space="preserve">Reported-equivalent churn = expansion + (1 - reported NRR)</t>
  </si>
  <si>
    <t xml:space="preserve">What the company's own retention number implies. The benchmark we compare the market's bet against.</t>
  </si>
  <si>
    <t xml:space="preserve">Net revenue retention used in the DCF = 1 - churn + expansion</t>
  </si>
  <si>
    <t xml:space="preserve">ARR Model - 10-year forecast (US$ m)</t>
  </si>
  <si>
    <t xml:space="preserve">Year</t>
  </si>
  <si>
    <t xml:space="preserve">Period</t>
  </si>
  <si>
    <t xml:space="preserve">Now (Jun-26)</t>
  </si>
  <si>
    <t xml:space="preserve">Drivers (ramp from today's numbers to long-term targets)</t>
  </si>
  <si>
    <t xml:space="preserve">Ramp progress (0% = today, 100% = long-term)</t>
  </si>
  <si>
    <t xml:space="preserve">Growth in new-customer ARR</t>
  </si>
  <si>
    <t xml:space="preserve">Adj. EBITDA margin</t>
  </si>
  <si>
    <t xml:space="preserve">FCF conversion (FCF / EBITDA)</t>
  </si>
  <si>
    <t xml:space="preserve">FCF margin (EBITDA margin x conversion)</t>
  </si>
  <si>
    <t xml:space="preserve">ARR bridge  (Starting ARR + new + expansion - churn = Ending ARR)</t>
  </si>
  <si>
    <t xml:space="preserve">Starting ARR</t>
  </si>
  <si>
    <t xml:space="preserve">(+) New-customer ARR</t>
  </si>
  <si>
    <t xml:space="preserve">(+) Expansion ARR (upsells)</t>
  </si>
  <si>
    <t xml:space="preserve">(-) Churned ARR</t>
  </si>
  <si>
    <t xml:space="preserve">Ending ARR</t>
  </si>
  <si>
    <t xml:space="preserve">ARR growth (%)</t>
  </si>
  <si>
    <t xml:space="preserve">Net revenue retention (1 - churn + expansion)</t>
  </si>
  <si>
    <t xml:space="preserve">Revenue to free cash flow</t>
  </si>
  <si>
    <t xml:space="preserve">Revenue (avg ARR x revenue per $ of ARR)</t>
  </si>
  <si>
    <t xml:space="preserve">Revenue growth (%)</t>
  </si>
  <si>
    <t xml:space="preserve">Gross profit</t>
  </si>
  <si>
    <t xml:space="preserve">(-) Operating expenses (S&amp;M, R&amp;D, G&amp;A)</t>
  </si>
  <si>
    <t xml:space="preserve">Adjusted EBITDA (operating profit before D&amp;A)</t>
  </si>
  <si>
    <t xml:space="preserve">(-) Cash taxes, capex &amp; other</t>
  </si>
  <si>
    <t xml:space="preserve">Free cash flow</t>
  </si>
  <si>
    <t xml:space="preserve">DCF - what are those future cash flows worth today?</t>
  </si>
  <si>
    <t xml:space="preserve">Free cash flow (US$ m)</t>
  </si>
  <si>
    <t xml:space="preserve">Discount factor = 1 / (1 + discount rate)^year</t>
  </si>
  <si>
    <t xml:space="preserve">Present value of FCF (today's dollars)</t>
  </si>
  <si>
    <t xml:space="preserve">Sum of PV of FCF, Years 1-10</t>
  </si>
  <si>
    <t xml:space="preserve">Cash we can see</t>
  </si>
  <si>
    <t xml:space="preserve">Terminal value at Year 10</t>
  </si>
  <si>
    <t xml:space="preserve">Value of every year after Year 10: FCF(Yr 11) / (discount rate - growth)</t>
  </si>
  <si>
    <t xml:space="preserve">PV of terminal value</t>
  </si>
  <si>
    <t xml:space="preserve">Shrunk back to today's dollars</t>
  </si>
  <si>
    <t xml:space="preserve">Enterprise value (US$ m)</t>
  </si>
  <si>
    <t xml:space="preserve">Value of the business itself</t>
  </si>
  <si>
    <t xml:space="preserve">(+) Cash</t>
  </si>
  <si>
    <t xml:space="preserve">(-) Debt</t>
  </si>
  <si>
    <t xml:space="preserve">Equity value (US$ m)</t>
  </si>
  <si>
    <t xml:space="preserve">What belongs to shareholders</t>
  </si>
  <si>
    <t xml:space="preserve">Shares outstanding (m)</t>
  </si>
  <si>
    <t xml:space="preserve">Value per share (US$)</t>
  </si>
  <si>
    <t xml:space="preserve">USD/CAD</t>
  </si>
  <si>
    <t xml:space="preserve">Model value per share (C$)</t>
  </si>
  <si>
    <t xml:space="preserve">Compare with the TSX price</t>
  </si>
  <si>
    <t xml:space="preserve">Upside / (downside) vs. market</t>
  </si>
  <si>
    <t xml:space="preserve">Positive = model says the stock is cheap</t>
  </si>
  <si>
    <t xml:space="preserve">Terminal value as % of enterprise value</t>
  </si>
  <si>
    <t xml:space="preserve">Usually 60-80% for a growing company</t>
  </si>
  <si>
    <t xml:space="preserve">GOAL SEEK TARGET -&gt; model price (C$)</t>
  </si>
  <si>
    <t xml:space="preserve">Goal Seek: set C22 to the market price by changing Assumptions!C5</t>
  </si>
  <si>
    <t xml:space="preserve">Sensitivity - model share price (C$) for each churn x discount rate</t>
  </si>
  <si>
    <t xml:space="preserve">Green = model price at or above today's market price (stock looks cheap). Red = below (stock looks expensive). Blue headers are editable.</t>
  </si>
  <si>
    <t xml:space="preserve">Market price (C$):</t>
  </si>
  <si>
    <t xml:space="preserve">Churn per year ↓  /  Discount rate →</t>
  </si>
  <si>
    <t xml:space="preserve">Read across a row: a higher discount rate (investors demand more return) lowers the price.</t>
  </si>
  <si>
    <t xml:space="preserve">Read down a column: more churn lowers the price. Find the cells closest to today's price - that's the market's bet.</t>
  </si>
  <si>
    <t xml:space="preserve">Reported-equivalent churn is ~9%; market-implied churn at 10% is on the Reverse DCF tab.</t>
  </si>
  <si>
    <t xml:space="preserve">Engine (one row per churn rate): ARR Y0-Y10, then revenue Y1-Y10</t>
  </si>
  <si>
    <t xml:space="preserve">Rev Y1</t>
  </si>
  <si>
    <t xml:space="preserve">Rev Y2</t>
  </si>
  <si>
    <t xml:space="preserve">Rev Y3</t>
  </si>
  <si>
    <t xml:space="preserve">Rev Y4</t>
  </si>
  <si>
    <t xml:space="preserve">Rev Y5</t>
  </si>
  <si>
    <t xml:space="preserve">Rev Y6</t>
  </si>
  <si>
    <t xml:space="preserve">Rev Y7</t>
  </si>
  <si>
    <t xml:space="preserve">Rev Y8</t>
  </si>
  <si>
    <t xml:space="preserve">Rev Y9</t>
  </si>
  <si>
    <t xml:space="preserve">Rev Y10</t>
  </si>
  <si>
    <t xml:space="preserve">Tracker - did the market's hidden bet change after news?</t>
  </si>
  <si>
    <t xml:space="preserve">After each earnings release: update Inputs, then add a row and PASTE AS VALUES the live results from Reverse DCF (Ctrl+Shift+V).</t>
  </si>
  <si>
    <t xml:space="preserve">Date</t>
  </si>
  <si>
    <t xml:space="preserve">Event</t>
  </si>
  <si>
    <t xml:space="preserve">ARR US$m</t>
  </si>
  <si>
    <t xml:space="preserve">NRR</t>
  </si>
  <si>
    <t xml:space="preserve">Implied churn</t>
  </si>
  <si>
    <t xml:space="preserve">Implied NRR</t>
  </si>
  <si>
    <t xml:space="preserve">What changed / my read</t>
  </si>
  <si>
    <t xml:space="preserve">2026-09-17</t>
  </si>
  <si>
    <t xml:space="preserve">Baseline (after Q2-2026 results)</t>
  </si>
  <si>
    <t xml:space="preserve">Live link for now - paste as values before adding the next row.</t>
  </si>
  <si>
    <t xml:space="preserve">Nov-2026</t>
  </si>
  <si>
    <t xml:space="preserve">Q3-2026 results (expected early Nov 2026)</t>
  </si>
  <si>
    <t xml:space="preserve">Fill in after the release.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</si>
</sst>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0.00"/>
    <numFmt numFmtId="167" formatCode="0.0000"/>
    <numFmt numFmtId="168" formatCode="#,##0.0;\(#,##0.0\);\-"/>
    <numFmt numFmtId="169" formatCode="0.0%;\(0.0%\);\-"/>
    <numFmt numFmtId="170" formatCode="0.000"/>
    <numFmt numFmtId="171" formatCode="0.0\x"/>
    <numFmt numFmtId="172" formatCode="\+0.0%;\-0.0%;0.0%"/>
    <numFmt numFmtId="173" formatCode="#,##0"/>
    <numFmt numFmtId="174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3" t="s">
        <v>12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B23" s="3" t="s">
        <v>18</v>
      </c>
    </row>
    <row r="24" customFormat="false" ht="15" hidden="false" customHeight="false" outlineLevel="0" collapsed="false">
      <c r="B24" s="3" t="s">
        <v>19</v>
      </c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3" t="s">
        <v>21</v>
      </c>
    </row>
    <row r="27" customFormat="false" ht="15" hidden="false" customHeight="false" outlineLevel="0" collapsed="false">
      <c r="B27" s="3"/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3" t="s">
        <v>23</v>
      </c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3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5" t="s">
        <v>28</v>
      </c>
    </row>
    <row r="2" customFormat="false" ht="15" hidden="false" customHeight="false" outlineLevel="0" collapsed="false">
      <c r="A2" s="6" t="s">
        <v>29</v>
      </c>
    </row>
    <row r="4" customFormat="false" ht="15" hidden="false" customHeight="false" outlineLevel="0" collapsed="false">
      <c r="A4" s="7" t="s">
        <v>30</v>
      </c>
      <c r="B4" s="8" t="s">
        <v>31</v>
      </c>
      <c r="C4" s="8" t="s">
        <v>32</v>
      </c>
      <c r="D4" s="8"/>
      <c r="E4" s="8"/>
      <c r="F4" s="8"/>
      <c r="G4" s="8"/>
      <c r="H4" s="8"/>
      <c r="I4" s="8"/>
      <c r="J4" s="8" t="s">
        <v>33</v>
      </c>
    </row>
    <row r="5" customFormat="false" ht="15" hidden="false" customHeight="false" outlineLevel="0" collapsed="false">
      <c r="A5" s="9" t="s">
        <v>34</v>
      </c>
      <c r="B5" s="10" t="n">
        <v>33.22</v>
      </c>
      <c r="C5" s="11" t="s">
        <v>35</v>
      </c>
      <c r="J5" s="6" t="s">
        <v>36</v>
      </c>
    </row>
    <row r="6" customFormat="false" ht="15" hidden="false" customHeight="false" outlineLevel="0" collapsed="false">
      <c r="A6" s="9" t="s">
        <v>37</v>
      </c>
      <c r="B6" s="12" t="n">
        <v>24.95</v>
      </c>
      <c r="C6" s="11" t="s">
        <v>38</v>
      </c>
      <c r="J6" s="6" t="s">
        <v>39</v>
      </c>
    </row>
    <row r="7" customFormat="false" ht="15" hidden="false" customHeight="false" outlineLevel="0" collapsed="false">
      <c r="A7" s="9" t="s">
        <v>40</v>
      </c>
      <c r="B7" s="13" t="n">
        <v>1.41</v>
      </c>
      <c r="C7" s="11" t="s">
        <v>41</v>
      </c>
      <c r="J7" s="6" t="s">
        <v>42</v>
      </c>
    </row>
    <row r="8" customFormat="false" ht="15" hidden="false" customHeight="false" outlineLevel="0" collapsed="false">
      <c r="A8" s="9" t="s">
        <v>43</v>
      </c>
      <c r="B8" s="14" t="n">
        <f aca="false">B5*B6</f>
        <v>828.839</v>
      </c>
      <c r="C8" s="11" t="s">
        <v>44</v>
      </c>
      <c r="J8" s="6" t="s">
        <v>45</v>
      </c>
    </row>
    <row r="9" customFormat="false" ht="15" hidden="false" customHeight="false" outlineLevel="0" collapsed="false">
      <c r="A9" s="9" t="s">
        <v>46</v>
      </c>
      <c r="B9" s="15" t="n">
        <v>45.7</v>
      </c>
      <c r="C9" s="11" t="s">
        <v>47</v>
      </c>
      <c r="J9" s="6" t="s">
        <v>48</v>
      </c>
    </row>
    <row r="10" customFormat="false" ht="15" hidden="false" customHeight="false" outlineLevel="0" collapsed="false">
      <c r="A10" s="9" t="s">
        <v>49</v>
      </c>
      <c r="B10" s="15" t="n">
        <v>88</v>
      </c>
      <c r="C10" s="11" t="s">
        <v>47</v>
      </c>
      <c r="J10" s="6" t="s">
        <v>48</v>
      </c>
    </row>
    <row r="11" customFormat="false" ht="15" hidden="false" customHeight="false" outlineLevel="0" collapsed="false">
      <c r="A11" s="9" t="s">
        <v>50</v>
      </c>
      <c r="B11" s="14" t="n">
        <f aca="false">B10-B9</f>
        <v>42.3</v>
      </c>
      <c r="C11" s="11" t="s">
        <v>47</v>
      </c>
      <c r="J11" s="6" t="s">
        <v>51</v>
      </c>
    </row>
    <row r="12" customFormat="false" ht="15" hidden="false" customHeight="false" outlineLevel="0" collapsed="false">
      <c r="A12" s="9" t="s">
        <v>52</v>
      </c>
      <c r="B12" s="16" t="n">
        <v>0.794</v>
      </c>
      <c r="C12" s="11" t="s">
        <v>53</v>
      </c>
      <c r="J12" s="6" t="s">
        <v>54</v>
      </c>
    </row>
    <row r="13" customFormat="false" ht="15" hidden="false" customHeight="false" outlineLevel="0" collapsed="false">
      <c r="A13" s="9" t="s">
        <v>55</v>
      </c>
      <c r="B13" s="17" t="n">
        <v>0.99</v>
      </c>
      <c r="C13" s="11" t="s">
        <v>53</v>
      </c>
      <c r="J13" s="6" t="s">
        <v>56</v>
      </c>
    </row>
    <row r="14" customFormat="false" ht="15" hidden="false" customHeight="false" outlineLevel="0" collapsed="false">
      <c r="A14" s="9" t="s">
        <v>57</v>
      </c>
      <c r="B14" s="16" t="n">
        <v>1.01</v>
      </c>
      <c r="C14" s="11" t="s">
        <v>53</v>
      </c>
      <c r="J14" s="6" t="s">
        <v>58</v>
      </c>
    </row>
    <row r="16" customFormat="false" ht="15" hidden="false" customHeight="false" outlineLevel="0" collapsed="false">
      <c r="A16" s="7" t="s">
        <v>59</v>
      </c>
      <c r="B16" s="8" t="s">
        <v>60</v>
      </c>
      <c r="C16" s="8" t="s">
        <v>61</v>
      </c>
      <c r="D16" s="8" t="s">
        <v>62</v>
      </c>
      <c r="E16" s="8" t="s">
        <v>63</v>
      </c>
      <c r="F16" s="8" t="s">
        <v>64</v>
      </c>
      <c r="G16" s="8" t="s">
        <v>65</v>
      </c>
      <c r="H16" s="8" t="s">
        <v>66</v>
      </c>
      <c r="I16" s="8" t="s">
        <v>67</v>
      </c>
      <c r="J16" s="8" t="s">
        <v>33</v>
      </c>
    </row>
    <row r="17" customFormat="false" ht="15" hidden="false" customHeight="false" outlineLevel="0" collapsed="false">
      <c r="A17" s="9" t="s">
        <v>68</v>
      </c>
      <c r="B17" s="15" t="n">
        <v>214.1</v>
      </c>
      <c r="C17" s="15" t="n">
        <v>219.7</v>
      </c>
      <c r="D17" s="15" t="n">
        <v>225.1</v>
      </c>
      <c r="E17" s="15" t="n">
        <v>233</v>
      </c>
      <c r="F17" s="15" t="n">
        <v>235.6</v>
      </c>
      <c r="G17" s="15" t="n">
        <v>238.1</v>
      </c>
      <c r="H17" s="15" t="n">
        <v>248.9</v>
      </c>
      <c r="I17" s="15" t="n">
        <v>255.1</v>
      </c>
      <c r="J17" s="6" t="s">
        <v>69</v>
      </c>
    </row>
    <row r="18" customFormat="false" ht="15" hidden="false" customHeight="false" outlineLevel="0" collapsed="false">
      <c r="A18" s="9" t="s">
        <v>70</v>
      </c>
      <c r="B18" s="15" t="n">
        <v>55.4</v>
      </c>
      <c r="C18" s="15" t="n">
        <v>57</v>
      </c>
      <c r="D18" s="15" t="n">
        <v>57.3</v>
      </c>
      <c r="E18" s="15" t="n">
        <v>61</v>
      </c>
      <c r="F18" s="15" t="n">
        <v>62</v>
      </c>
      <c r="G18" s="15" t="n">
        <v>62.8</v>
      </c>
      <c r="H18" s="15" t="n">
        <v>65.6</v>
      </c>
      <c r="I18" s="15" t="n">
        <v>68.7</v>
      </c>
      <c r="J18" s="6" t="s">
        <v>71</v>
      </c>
    </row>
    <row r="19" customFormat="false" ht="15" hidden="false" customHeight="false" outlineLevel="0" collapsed="false">
      <c r="A19" s="9" t="s">
        <v>72</v>
      </c>
      <c r="B19" s="15" t="n">
        <v>8.7</v>
      </c>
      <c r="C19" s="15" t="n">
        <v>9.5</v>
      </c>
      <c r="E19" s="15" t="n">
        <v>9.2</v>
      </c>
      <c r="F19" s="15" t="n">
        <v>12.4</v>
      </c>
      <c r="G19" s="15" t="n">
        <v>13.3</v>
      </c>
      <c r="H19" s="15" t="n">
        <v>11.2</v>
      </c>
      <c r="I19" s="15" t="n">
        <v>11.2</v>
      </c>
      <c r="J19" s="6" t="s">
        <v>73</v>
      </c>
    </row>
    <row r="20" customFormat="false" ht="15" hidden="false" customHeight="false" outlineLevel="0" collapsed="false">
      <c r="A20" s="9" t="s">
        <v>74</v>
      </c>
      <c r="B20" s="15" t="n">
        <v>4.5</v>
      </c>
      <c r="C20" s="15" t="n">
        <v>10.1</v>
      </c>
      <c r="D20" s="15" t="n">
        <v>9</v>
      </c>
      <c r="E20" s="15" t="n">
        <v>11.4</v>
      </c>
      <c r="F20" s="15" t="n">
        <v>5.7</v>
      </c>
      <c r="G20" s="15" t="n">
        <v>12.3</v>
      </c>
      <c r="H20" s="15" t="n">
        <v>27.6</v>
      </c>
      <c r="I20" s="15" t="n">
        <v>3.1</v>
      </c>
      <c r="J20" s="6" t="s">
        <v>75</v>
      </c>
    </row>
    <row r="21" customFormat="false" ht="15" hidden="false" customHeight="false" outlineLevel="0" collapsed="false">
      <c r="A21" s="9" t="s">
        <v>76</v>
      </c>
      <c r="B21" s="18" t="n">
        <f aca="false">IF(B18&gt;0,B20/B18,0)</f>
        <v>0.0812274368231047</v>
      </c>
      <c r="C21" s="18" t="n">
        <f aca="false">IF(C18&gt;0,C20/C18,0)</f>
        <v>0.17719298245614</v>
      </c>
      <c r="D21" s="18" t="n">
        <f aca="false">IF(D18&gt;0,D20/D18,0)</f>
        <v>0.157068062827225</v>
      </c>
      <c r="E21" s="18" t="n">
        <f aca="false">IF(E18&gt;0,E20/E18,0)</f>
        <v>0.186885245901639</v>
      </c>
      <c r="F21" s="18" t="n">
        <f aca="false">IF(F18&gt;0,F20/F18,0)</f>
        <v>0.0919354838709677</v>
      </c>
      <c r="G21" s="18" t="n">
        <f aca="false">IF(G18&gt;0,G20/G18,0)</f>
        <v>0.195859872611465</v>
      </c>
      <c r="H21" s="18" t="n">
        <f aca="false">IF(H18&gt;0,H20/H18,0)</f>
        <v>0.420731707317073</v>
      </c>
      <c r="I21" s="18" t="n">
        <f aca="false">IF(I18&gt;0,I20/I18,0)</f>
        <v>0.0451237263464338</v>
      </c>
    </row>
    <row r="22" customFormat="false" ht="15" hidden="false" customHeight="false" outlineLevel="0" collapsed="false">
      <c r="A22" s="9" t="s">
        <v>77</v>
      </c>
      <c r="B22" s="18" t="n">
        <f aca="false">IF(B19="","",B19/B18)</f>
        <v>0.157039711191336</v>
      </c>
      <c r="C22" s="18" t="n">
        <f aca="false">IF(C19="","",C19/C18)</f>
        <v>0.166666666666667</v>
      </c>
      <c r="D22" s="18" t="str">
        <f aca="false">IF(D19="","",D19/D18)</f>
        <v/>
      </c>
      <c r="E22" s="18" t="n">
        <f aca="false">IF(E19="","",E19/E18)</f>
        <v>0.150819672131148</v>
      </c>
      <c r="F22" s="18" t="n">
        <f aca="false">IF(F19="","",F19/F18)</f>
        <v>0.2</v>
      </c>
      <c r="G22" s="18" t="n">
        <f aca="false">IF(G19="","",G19/G18)</f>
        <v>0.211783439490446</v>
      </c>
      <c r="H22" s="18" t="n">
        <f aca="false">IF(H19="","",H19/H18)</f>
        <v>0.170731707317073</v>
      </c>
      <c r="I22" s="18" t="n">
        <f aca="false">IF(I19="","",I19/I18)</f>
        <v>0.163027656477438</v>
      </c>
    </row>
    <row r="23" customFormat="false" ht="15" hidden="false" customHeight="false" outlineLevel="0" collapsed="false">
      <c r="A23" s="9" t="s">
        <v>78</v>
      </c>
      <c r="F23" s="18" t="n">
        <f aca="false">F17/B17-1</f>
        <v>0.10042036431574</v>
      </c>
      <c r="G23" s="18" t="n">
        <f aca="false">G17/C17-1</f>
        <v>0.0837505689576696</v>
      </c>
      <c r="H23" s="18" t="n">
        <f aca="false">H17/D17-1</f>
        <v>0.105730786317192</v>
      </c>
      <c r="I23" s="18" t="n">
        <f aca="false">I17/E17-1</f>
        <v>0.0948497854077253</v>
      </c>
    </row>
    <row r="25" customFormat="false" ht="15" hidden="false" customHeight="false" outlineLevel="0" collapsed="false">
      <c r="A25" s="7" t="s">
        <v>79</v>
      </c>
      <c r="B25" s="8" t="s">
        <v>31</v>
      </c>
      <c r="C25" s="8" t="s">
        <v>32</v>
      </c>
      <c r="D25" s="8"/>
      <c r="E25" s="8"/>
      <c r="F25" s="8"/>
      <c r="G25" s="8"/>
      <c r="H25" s="8"/>
      <c r="I25" s="8"/>
      <c r="J25" s="8" t="s">
        <v>80</v>
      </c>
    </row>
    <row r="26" customFormat="false" ht="15" hidden="false" customHeight="false" outlineLevel="0" collapsed="false">
      <c r="A26" s="9" t="s">
        <v>81</v>
      </c>
      <c r="B26" s="14" t="n">
        <f aca="false">SUM(F18:I18)</f>
        <v>259.1</v>
      </c>
      <c r="J26" s="6" t="s">
        <v>82</v>
      </c>
    </row>
    <row r="27" customFormat="false" ht="15" hidden="false" customHeight="false" outlineLevel="0" collapsed="false">
      <c r="A27" s="9" t="s">
        <v>83</v>
      </c>
      <c r="B27" s="14" t="n">
        <f aca="false">SUM(F19:I19)</f>
        <v>48.1</v>
      </c>
      <c r="J27" s="6"/>
    </row>
    <row r="28" customFormat="false" ht="15" hidden="false" customHeight="false" outlineLevel="0" collapsed="false">
      <c r="A28" s="9" t="s">
        <v>84</v>
      </c>
      <c r="B28" s="14" t="n">
        <f aca="false">SUM(F20:I20)</f>
        <v>48.7</v>
      </c>
      <c r="J28" s="6"/>
    </row>
    <row r="29" customFormat="false" ht="15" hidden="false" customHeight="false" outlineLevel="0" collapsed="false">
      <c r="A29" s="9" t="s">
        <v>85</v>
      </c>
      <c r="B29" s="18" t="n">
        <f aca="false">B27/B26</f>
        <v>0.185642609031262</v>
      </c>
      <c r="J29" s="6" t="s">
        <v>86</v>
      </c>
    </row>
    <row r="30" customFormat="false" ht="15" hidden="false" customHeight="false" outlineLevel="0" collapsed="false">
      <c r="A30" s="9" t="s">
        <v>87</v>
      </c>
      <c r="B30" s="18" t="n">
        <f aca="false">B28/B26</f>
        <v>0.187958317252026</v>
      </c>
      <c r="J30" s="6"/>
    </row>
    <row r="31" customFormat="false" ht="15" hidden="false" customHeight="false" outlineLevel="0" collapsed="false">
      <c r="A31" s="9" t="s">
        <v>88</v>
      </c>
      <c r="B31" s="18" t="n">
        <f aca="false">B28/B27</f>
        <v>1.01247401247401</v>
      </c>
      <c r="J31" s="6" t="s">
        <v>89</v>
      </c>
    </row>
    <row r="32" customFormat="false" ht="15" hidden="false" customHeight="false" outlineLevel="0" collapsed="false">
      <c r="A32" s="9" t="s">
        <v>90</v>
      </c>
      <c r="B32" s="14" t="n">
        <f aca="false">I17</f>
        <v>255.1</v>
      </c>
      <c r="J32" s="6" t="s">
        <v>91</v>
      </c>
    </row>
    <row r="33" customFormat="false" ht="15" hidden="false" customHeight="false" outlineLevel="0" collapsed="false">
      <c r="A33" s="9" t="s">
        <v>92</v>
      </c>
      <c r="B33" s="14" t="n">
        <f aca="false">E17</f>
        <v>233</v>
      </c>
      <c r="J33" s="6"/>
    </row>
    <row r="34" customFormat="false" ht="15" hidden="false" customHeight="false" outlineLevel="0" collapsed="false">
      <c r="A34" s="9" t="s">
        <v>93</v>
      </c>
      <c r="B34" s="14" t="n">
        <f aca="false">B32-B33</f>
        <v>22.1</v>
      </c>
      <c r="J34" s="6" t="s">
        <v>94</v>
      </c>
    </row>
    <row r="35" customFormat="false" ht="15" hidden="false" customHeight="false" outlineLevel="0" collapsed="false">
      <c r="A35" s="9" t="s">
        <v>95</v>
      </c>
      <c r="B35" s="14" t="n">
        <f aca="false">B34+(1-B13)*B33</f>
        <v>24.43</v>
      </c>
      <c r="J35" s="6" t="s">
        <v>96</v>
      </c>
    </row>
    <row r="36" customFormat="false" ht="15" hidden="false" customHeight="false" outlineLevel="0" collapsed="false">
      <c r="A36" s="9" t="s">
        <v>97</v>
      </c>
      <c r="B36" s="19" t="n">
        <f aca="false">B26/AVERAGE(B32,B33)</f>
        <v>1.06166769104692</v>
      </c>
      <c r="J36" s="6" t="s">
        <v>98</v>
      </c>
    </row>
    <row r="37" customFormat="false" ht="15" hidden="false" customHeight="false" outlineLevel="0" collapsed="false">
      <c r="A37" s="9" t="s">
        <v>99</v>
      </c>
      <c r="B37" s="14" t="n">
        <f aca="false">B8/B7+B11</f>
        <v>630.129078014184</v>
      </c>
      <c r="J37" s="6" t="s">
        <v>100</v>
      </c>
    </row>
    <row r="38" customFormat="false" ht="15" hidden="false" customHeight="false" outlineLevel="0" collapsed="false">
      <c r="A38" s="9" t="s">
        <v>101</v>
      </c>
      <c r="B38" s="20" t="n">
        <f aca="false">B37/B32</f>
        <v>2.47012574682158</v>
      </c>
      <c r="J38" s="6" t="s">
        <v>102</v>
      </c>
    </row>
    <row r="39" customFormat="false" ht="15" hidden="false" customHeight="false" outlineLevel="0" collapsed="false">
      <c r="A39" s="9" t="s">
        <v>103</v>
      </c>
      <c r="B39" s="20" t="n">
        <f aca="false">B37/B28</f>
        <v>12.9389954417697</v>
      </c>
      <c r="J3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9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5" t="s">
        <v>104</v>
      </c>
    </row>
    <row r="2" customFormat="false" ht="15" hidden="false" customHeight="false" outlineLevel="0" collapsed="false">
      <c r="A2" s="6" t="s">
        <v>105</v>
      </c>
    </row>
    <row r="4" customFormat="false" ht="15" hidden="false" customHeight="false" outlineLevel="0" collapsed="false">
      <c r="A4" s="21" t="s">
        <v>106</v>
      </c>
      <c r="B4" s="21"/>
      <c r="C4" s="21"/>
      <c r="D4" s="21"/>
      <c r="E4" s="21"/>
      <c r="F4" s="21"/>
      <c r="G4" s="21"/>
      <c r="H4" s="22" t="n">
        <f aca="false">Inputs!B5</f>
        <v>33.22</v>
      </c>
    </row>
    <row r="5" customFormat="false" ht="15" hidden="false" customHeight="false" outlineLevel="0" collapsed="false">
      <c r="A5" s="23" t="s">
        <v>107</v>
      </c>
      <c r="B5" s="23"/>
      <c r="C5" s="23"/>
      <c r="D5" s="23"/>
      <c r="E5" s="23"/>
      <c r="F5" s="23"/>
      <c r="G5" s="23"/>
      <c r="H5" s="24" t="n">
        <f aca="false">IF(H4&gt;N30,"below 0%",IF(H4&lt;N130,"above 50%",INDEX($A$30:$A$130,MATCH(H4,$N$30:$N$130,-1))+(INDEX($N$30:$N$130,MATCH(H4,$N$30:$N$130,-1))-H4)/(INDEX($N$30:$N$130,MATCH(H4,$N$30:$N$130,-1))-INDEX($N$30:$N$130,MATCH(H4,$N$30:$N$130,-1)+1))*0.005))</f>
        <v>0.24513208835438</v>
      </c>
    </row>
    <row r="6" customFormat="false" ht="15" hidden="false" customHeight="false" outlineLevel="0" collapsed="false">
      <c r="A6" s="21" t="s">
        <v>108</v>
      </c>
      <c r="B6" s="21"/>
      <c r="C6" s="21"/>
      <c r="D6" s="21"/>
      <c r="E6" s="21"/>
      <c r="F6" s="21"/>
      <c r="G6" s="21"/>
      <c r="H6" s="25" t="n">
        <f aca="false">Assumptions!C16</f>
        <v>0.09</v>
      </c>
    </row>
    <row r="7" customFormat="false" ht="15" hidden="false" customHeight="false" outlineLevel="0" collapsed="false">
      <c r="A7" s="23" t="s">
        <v>109</v>
      </c>
      <c r="B7" s="23"/>
      <c r="C7" s="23"/>
      <c r="D7" s="23"/>
      <c r="E7" s="23"/>
      <c r="F7" s="23"/>
      <c r="G7" s="23"/>
      <c r="H7" s="26" t="n">
        <f aca="false">IFERROR(H5-H6,"n/a")</f>
        <v>0.15513208835438</v>
      </c>
    </row>
    <row r="8" customFormat="false" ht="15" hidden="false" customHeight="false" outlineLevel="0" collapsed="false">
      <c r="A8" s="21" t="s">
        <v>110</v>
      </c>
      <c r="B8" s="21"/>
      <c r="C8" s="21"/>
      <c r="D8" s="21"/>
      <c r="E8" s="21"/>
      <c r="F8" s="21"/>
      <c r="G8" s="21"/>
      <c r="H8" s="27" t="n">
        <f aca="false">IFERROR(1-H5+Assumptions!C6,"n/a")</f>
        <v>0.83486791164562</v>
      </c>
    </row>
    <row r="9" customFormat="false" ht="15" hidden="false" customHeight="false" outlineLevel="0" collapsed="false">
      <c r="A9" s="21" t="s">
        <v>111</v>
      </c>
      <c r="B9" s="21"/>
      <c r="C9" s="21"/>
      <c r="D9" s="21"/>
      <c r="E9" s="21"/>
      <c r="F9" s="21"/>
      <c r="G9" s="21"/>
      <c r="H9" s="25" t="n">
        <f aca="false">Inputs!B13</f>
        <v>0.99</v>
      </c>
    </row>
    <row r="10" customFormat="false" ht="15" hidden="false" customHeight="false" outlineLevel="0" collapsed="false">
      <c r="A10" s="21" t="s">
        <v>112</v>
      </c>
      <c r="B10" s="21"/>
      <c r="C10" s="21"/>
      <c r="D10" s="21"/>
      <c r="E10" s="21"/>
      <c r="F10" s="21"/>
      <c r="G10" s="21"/>
      <c r="H10" s="28" t="n">
        <f aca="false">N133</f>
        <v>69.8277536582657</v>
      </c>
    </row>
    <row r="11" customFormat="false" ht="15" hidden="false" customHeight="false" outlineLevel="0" collapsed="false">
      <c r="A11" s="21" t="s">
        <v>113</v>
      </c>
      <c r="B11" s="21"/>
      <c r="C11" s="21"/>
      <c r="D11" s="21"/>
      <c r="E11" s="21"/>
      <c r="F11" s="21"/>
      <c r="G11" s="21"/>
      <c r="H11" s="28" t="n">
        <f aca="false">N134</f>
        <v>33.2197296537883</v>
      </c>
    </row>
    <row r="13" customFormat="false" ht="48" hidden="false" customHeight="true" outlineLevel="0" collapsed="false">
      <c r="A13" s="29" t="str">
        <f aca="false">IF(ISNUMBER(H5),IF(H5&gt;H6,"PESSIMISTIC: the price only makes sense if Docebo loses about "&amp;TEXT(H5,"0%")&amp;" of its ARR every year - vs. about "&amp;TEXT(H6,"0%")&amp;" implied by what it reports. The market is betting things get worse (or doubts the numbers).","OPTIMISTIC: the price needs churn of only "&amp;TEXT(H5,"0.0%")&amp;" - better than the "&amp;TEXT(H6,"0.0%")&amp;" the company reports. The market expects improvement."),"Implied churn is outside 0-50%: check the inputs.")</f>
        <v>PESSIMISTIC: the price only makes sense if Docebo loses about 25% of its ARR every year - vs. about 9% implied by what it reports. The market is betting things get worse (or doubts the numbers).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</row>
    <row r="15" customFormat="false" ht="15" hidden="false" customHeight="false" outlineLevel="0" collapsed="false">
      <c r="A15" s="6" t="s">
        <v>114</v>
      </c>
    </row>
    <row r="16" customFormat="false" ht="15" hidden="false" customHeight="false" outlineLevel="0" collapsed="false">
      <c r="A16" s="6" t="s">
        <v>115</v>
      </c>
    </row>
    <row r="27" customFormat="false" ht="15" hidden="false" customHeight="false" outlineLevel="0" collapsed="false">
      <c r="A27" s="30" t="s">
        <v>116</v>
      </c>
    </row>
    <row r="29" customFormat="false" ht="15" hidden="false" customHeight="false" outlineLevel="0" collapsed="false">
      <c r="A29" s="7" t="s">
        <v>117</v>
      </c>
      <c r="B29" s="8" t="s">
        <v>118</v>
      </c>
      <c r="C29" s="8" t="s">
        <v>119</v>
      </c>
      <c r="D29" s="8" t="s">
        <v>120</v>
      </c>
      <c r="E29" s="8" t="s">
        <v>121</v>
      </c>
      <c r="F29" s="8" t="s">
        <v>122</v>
      </c>
      <c r="G29" s="8" t="s">
        <v>123</v>
      </c>
      <c r="H29" s="8" t="s">
        <v>124</v>
      </c>
      <c r="I29" s="8" t="s">
        <v>125</v>
      </c>
      <c r="J29" s="8" t="s">
        <v>126</v>
      </c>
      <c r="K29" s="8" t="s">
        <v>127</v>
      </c>
      <c r="L29" s="8" t="s">
        <v>128</v>
      </c>
      <c r="M29" s="8" t="s">
        <v>129</v>
      </c>
      <c r="N29" s="8" t="s">
        <v>130</v>
      </c>
    </row>
    <row r="30" customFormat="false" ht="15" hidden="false" customHeight="false" outlineLevel="0" collapsed="false">
      <c r="A30" s="18" t="n">
        <v>0</v>
      </c>
      <c r="B30" s="31" t="n">
        <f aca="false">'ARR Model'!$B$17</f>
        <v>255.1</v>
      </c>
      <c r="C30" s="32" t="n">
        <f aca="false">B30*(1-$A30+Assumptions!$C$6)+'ARR Model'!C$14</f>
        <v>301.8924</v>
      </c>
      <c r="D30" s="32" t="n">
        <f aca="false">C30*(1-$A30+Assumptions!$C$6)+'ARR Model'!D$14</f>
        <v>354.377706</v>
      </c>
      <c r="E30" s="32" t="n">
        <f aca="false">D30*(1-$A30+Assumptions!$C$6)+'ARR Model'!E$14</f>
        <v>412.982246206667</v>
      </c>
      <c r="F30" s="32" t="n">
        <f aca="false">E30*(1-$A30+Assumptions!$C$6)+'ARR Model'!F$14</f>
        <v>478.140832926345</v>
      </c>
      <c r="G30" s="32" t="n">
        <f aca="false">F30*(1-$A30+Assumptions!$C$6)+'ARR Model'!G$14</f>
        <v>550.296551418216</v>
      </c>
      <c r="H30" s="32" t="n">
        <f aca="false">G30*(1-$A30+Assumptions!$C$6)+'ARR Model'!H$14</f>
        <v>629.901114175737</v>
      </c>
      <c r="I30" s="32" t="n">
        <f aca="false">H30*(1-$A30+Assumptions!$C$6)+'ARR Model'!I$14</f>
        <v>717.415878295103</v>
      </c>
      <c r="J30" s="32" t="n">
        <f aca="false">I30*(1-$A30+Assumptions!$C$6)+'ARR Model'!J$14</f>
        <v>813.313612001805</v>
      </c>
      <c r="K30" s="32" t="n">
        <f aca="false">J30*(1-$A30+Assumptions!$C$6)+'ARR Model'!K$14</f>
        <v>918.081081045494</v>
      </c>
      <c r="L30" s="32" t="n">
        <f aca="false">K30*(1-$A30+Assumptions!$C$6)+'ARR Model'!L$14</f>
        <v>1032.22250711477</v>
      </c>
      <c r="M30" s="32" t="n">
        <f aca="false">SUMPRODUCT((B30:K30+C30:L30)/2*Inputs!$B$36,'ARR Model'!$C$10:$L$10,DCF!$C$5:$L$5)+AVERAGE(K30,L30)*Inputs!$B$36*'ARR Model'!$L$10*(1+Assumptions!$C$14)/(Assumptions!$C$13-Assumptions!$C$14)*DCF!$L$5</f>
        <v>2085.57053314975</v>
      </c>
      <c r="N30" s="28" t="n">
        <f aca="false">(M30+Inputs!$B$9-Inputs!$B$10)/Inputs!$B$6*Inputs!$B$7</f>
        <v>115.471400871389</v>
      </c>
    </row>
    <row r="31" customFormat="false" ht="15" hidden="false" customHeight="false" outlineLevel="0" collapsed="false">
      <c r="A31" s="18" t="n">
        <v>0.005</v>
      </c>
      <c r="B31" s="31" t="n">
        <f aca="false">'ARR Model'!$B$17</f>
        <v>255.1</v>
      </c>
      <c r="C31" s="32" t="n">
        <f aca="false">B31*(1-$A31+Assumptions!$C$6)+'ARR Model'!C$14</f>
        <v>300.6169</v>
      </c>
      <c r="D31" s="32" t="n">
        <f aca="false">C31*(1-$A31+Assumptions!$C$6)+'ARR Model'!D$14</f>
        <v>351.4970815</v>
      </c>
      <c r="E31" s="32" t="n">
        <f aca="false">D31*(1-$A31+Assumptions!$C$6)+'ARR Model'!E$14</f>
        <v>408.113686339167</v>
      </c>
      <c r="F31" s="32" t="n">
        <f aca="false">E31*(1-$A31+Assumptions!$C$6)+'ARR Model'!F$14</f>
        <v>470.842219837749</v>
      </c>
      <c r="G31" s="32" t="n">
        <f aca="false">F31*(1-$A31+Assumptions!$C$6)+'ARR Model'!G$14</f>
        <v>540.059838183343</v>
      </c>
      <c r="H31" s="32" t="n">
        <f aca="false">G31*(1-$A31+Assumptions!$C$6)+'ARR Model'!H$14</f>
        <v>616.145164691158</v>
      </c>
      <c r="I31" s="32" t="n">
        <f aca="false">H31*(1-$A31+Assumptions!$C$6)+'ARR Model'!I$14</f>
        <v>699.478727028302</v>
      </c>
      <c r="J31" s="32" t="n">
        <f aca="false">I31*(1-$A31+Assumptions!$C$6)+'ARR Model'!J$14</f>
        <v>790.444094998518</v>
      </c>
      <c r="K31" s="32" t="n">
        <f aca="false">J31*(1-$A31+Assumptions!$C$6)+'ARR Model'!K$14</f>
        <v>889.429782206952</v>
      </c>
      <c r="L31" s="32" t="n">
        <f aca="false">K31*(1-$A31+Assumptions!$C$6)+'ARR Model'!L$14</f>
        <v>996.831955458107</v>
      </c>
      <c r="M31" s="32" t="n">
        <f aca="false">SUMPRODUCT((B31:K31+C31:L31)/2*Inputs!$B$36,'ARR Model'!$C$10:$L$10,DCF!$C$5:$L$5)+AVERAGE(K31,L31)*Inputs!$B$36*'ARR Model'!$L$10*(1+Assumptions!$C$14)/(Assumptions!$C$13-Assumptions!$C$14)*DCF!$L$5</f>
        <v>2027.30139174603</v>
      </c>
      <c r="N31" s="28" t="n">
        <f aca="false">(M31+Inputs!$B$9-Inputs!$B$10)/Inputs!$B$6*Inputs!$B$7</f>
        <v>112.178435365206</v>
      </c>
    </row>
    <row r="32" customFormat="false" ht="15" hidden="false" customHeight="false" outlineLevel="0" collapsed="false">
      <c r="A32" s="18" t="n">
        <v>0.01</v>
      </c>
      <c r="B32" s="31" t="n">
        <f aca="false">'ARR Model'!$B$17</f>
        <v>255.1</v>
      </c>
      <c r="C32" s="32" t="n">
        <f aca="false">B32*(1-$A32+Assumptions!$C$6)+'ARR Model'!C$14</f>
        <v>299.3414</v>
      </c>
      <c r="D32" s="32" t="n">
        <f aca="false">C32*(1-$A32+Assumptions!$C$6)+'ARR Model'!D$14</f>
        <v>348.629212</v>
      </c>
      <c r="E32" s="32" t="n">
        <f aca="false">D32*(1-$A32+Assumptions!$C$6)+'ARR Model'!E$14</f>
        <v>403.287580566667</v>
      </c>
      <c r="F32" s="32" t="n">
        <f aca="false">E32*(1-$A32+Assumptions!$C$6)+'ARR Model'!F$14</f>
        <v>463.637718229478</v>
      </c>
      <c r="G32" s="32" t="n">
        <f aca="false">F32*(1-$A32+Assumptions!$C$6)+'ARR Model'!G$14</f>
        <v>529.996810363305</v>
      </c>
      <c r="H32" s="32" t="n">
        <f aca="false">G32*(1-$A32+Assumptions!$C$6)+'ARR Model'!H$14</f>
        <v>602.6774257328</v>
      </c>
      <c r="I32" s="32" t="n">
        <f aca="false">H32*(1-$A32+Assumptions!$C$6)+'ARR Model'!I$14</f>
        <v>681.987520519404</v>
      </c>
      <c r="J32" s="32" t="n">
        <f aca="false">I32*(1-$A32+Assumptions!$C$6)+'ARR Model'!J$14</f>
        <v>768.231110398855</v>
      </c>
      <c r="K32" s="32" t="n">
        <f aca="false">J32*(1-$A32+Assumptions!$C$6)+'ARR Model'!K$14</f>
        <v>861.70966821032</v>
      </c>
      <c r="L32" s="32" t="n">
        <f aca="false">K32*(1-$A32+Assumptions!$C$6)+'ARR Model'!L$14</f>
        <v>962.724284570676</v>
      </c>
      <c r="M32" s="32" t="n">
        <f aca="false">SUMPRODUCT((B32:K32+C32:L32)/2*Inputs!$B$36,'ARR Model'!$C$10:$L$10,DCF!$C$5:$L$5)+AVERAGE(K32,L32)*Inputs!$B$36*'ARR Model'!$L$10*(1+Assumptions!$C$14)/(Assumptions!$C$13-Assumptions!$C$14)*DCF!$L$5</f>
        <v>1970.88304072287</v>
      </c>
      <c r="N32" s="28" t="n">
        <f aca="false">(M32+Inputs!$B$9-Inputs!$B$10)/Inputs!$B$6*Inputs!$B$7</f>
        <v>108.990063624018</v>
      </c>
    </row>
    <row r="33" customFormat="false" ht="15" hidden="false" customHeight="false" outlineLevel="0" collapsed="false">
      <c r="A33" s="18" t="n">
        <v>0.015</v>
      </c>
      <c r="B33" s="31" t="n">
        <f aca="false">'ARR Model'!$B$17</f>
        <v>255.1</v>
      </c>
      <c r="C33" s="32" t="n">
        <f aca="false">B33*(1-$A33+Assumptions!$C$6)+'ARR Model'!C$14</f>
        <v>298.0659</v>
      </c>
      <c r="D33" s="32" t="n">
        <f aca="false">C33*(1-$A33+Assumptions!$C$6)+'ARR Model'!D$14</f>
        <v>345.7740975</v>
      </c>
      <c r="E33" s="32" t="n">
        <f aca="false">D33*(1-$A33+Assumptions!$C$6)+'ARR Model'!E$14</f>
        <v>398.503737564167</v>
      </c>
      <c r="F33" s="32" t="n">
        <f aca="false">E33*(1-$A33+Assumptions!$C$6)+'ARR Model'!F$14</f>
        <v>456.526487528982</v>
      </c>
      <c r="G33" s="32" t="n">
        <f aca="false">F33*(1-$A33+Assumptions!$C$6)+'ARR Model'!G$14</f>
        <v>520.105161076129</v>
      </c>
      <c r="H33" s="32" t="n">
        <f aca="false">G33*(1-$A33+Assumptions!$C$6)+'ARR Model'!H$14</f>
        <v>589.492835190142</v>
      </c>
      <c r="I33" s="32" t="n">
        <f aca="false">H33*(1-$A33+Assumptions!$C$6)+'ARR Model'!I$14</f>
        <v>664.932544462808</v>
      </c>
      <c r="J33" s="32" t="n">
        <f aca="false">I33*(1-$A33+Assumptions!$C$6)+'ARR Model'!J$14</f>
        <v>746.657623295984</v>
      </c>
      <c r="K33" s="32" t="n">
        <f aca="false">J33*(1-$A33+Assumptions!$C$6)+'ARR Model'!K$14</f>
        <v>834.892748893768</v>
      </c>
      <c r="L33" s="32" t="n">
        <f aca="false">K33*(1-$A33+Assumptions!$C$6)+'ARR Model'!L$14</f>
        <v>929.855717157496</v>
      </c>
      <c r="M33" s="32" t="n">
        <f aca="false">SUMPRODUCT((B33:K33+C33:L33)/2*Inputs!$B$36,'ARR Model'!$C$10:$L$10,DCF!$C$5:$L$5)+AVERAGE(K33,L33)*Inputs!$B$36*'ARR Model'!$L$10*(1+Assumptions!$C$14)/(Assumptions!$C$13-Assumptions!$C$14)*DCF!$L$5</f>
        <v>1916.25838705474</v>
      </c>
      <c r="N33" s="28" t="n">
        <f aca="false">(M33+Inputs!$B$9-Inputs!$B$10)/Inputs!$B$6*Inputs!$B$7</f>
        <v>105.903059148184</v>
      </c>
    </row>
    <row r="34" customFormat="false" ht="15" hidden="false" customHeight="false" outlineLevel="0" collapsed="false">
      <c r="A34" s="18" t="n">
        <v>0.02</v>
      </c>
      <c r="B34" s="31" t="n">
        <f aca="false">'ARR Model'!$B$17</f>
        <v>255.1</v>
      </c>
      <c r="C34" s="32" t="n">
        <f aca="false">B34*(1-$A34+Assumptions!$C$6)+'ARR Model'!C$14</f>
        <v>296.7904</v>
      </c>
      <c r="D34" s="32" t="n">
        <f aca="false">C34*(1-$A34+Assumptions!$C$6)+'ARR Model'!D$14</f>
        <v>342.931738</v>
      </c>
      <c r="E34" s="32" t="n">
        <f aca="false">D34*(1-$A34+Assumptions!$C$6)+'ARR Model'!E$14</f>
        <v>393.761966006667</v>
      </c>
      <c r="F34" s="32" t="n">
        <f aca="false">E34*(1-$A34+Assumptions!$C$6)+'ARR Model'!F$14</f>
        <v>449.507690990211</v>
      </c>
      <c r="G34" s="32" t="n">
        <f aca="false">F34*(1-$A34+Assumptions!$C$6)+'ARR Model'!G$14</f>
        <v>510.382604307388</v>
      </c>
      <c r="H34" s="32" t="n">
        <f aca="false">G34*(1-$A34+Assumptions!$C$6)+'ARR Model'!H$14</f>
        <v>576.586399209895</v>
      </c>
      <c r="I34" s="32" t="n">
        <f aca="false">H34*(1-$A34+Assumptions!$C$6)+'ARR Model'!I$14</f>
        <v>648.304258147796</v>
      </c>
      <c r="J34" s="32" t="n">
        <f aca="false">I34*(1-$A34+Assumptions!$C$6)+'ARR Model'!J$14</f>
        <v>725.706977079757</v>
      </c>
      <c r="K34" s="32" t="n">
        <f aca="false">J34*(1-$A34+Assumptions!$C$6)+'ARR Model'!K$14</f>
        <v>808.951775788087</v>
      </c>
      <c r="L34" s="32" t="n">
        <f aca="false">K34*(1-$A34+Assumptions!$C$6)+'ARR Model'!L$14</f>
        <v>898.183821921006</v>
      </c>
      <c r="M34" s="32" t="n">
        <f aca="false">SUMPRODUCT((B34:K34+C34:L34)/2*Inputs!$B$36,'ARR Model'!$C$10:$L$10,DCF!$C$5:$L$5)+AVERAGE(K34,L34)*Inputs!$B$36*'ARR Model'!$L$10*(1+Assumptions!$C$14)/(Assumptions!$C$13-Assumptions!$C$14)*DCF!$L$5</f>
        <v>1863.37194598592</v>
      </c>
      <c r="N34" s="28" t="n">
        <f aca="false">(M34+Inputs!$B$9-Inputs!$B$10)/Inputs!$B$6*Inputs!$B$7</f>
        <v>102.914286326258</v>
      </c>
    </row>
    <row r="35" customFormat="false" ht="15" hidden="false" customHeight="false" outlineLevel="0" collapsed="false">
      <c r="A35" s="18" t="n">
        <v>0.025</v>
      </c>
      <c r="B35" s="31" t="n">
        <f aca="false">'ARR Model'!$B$17</f>
        <v>255.1</v>
      </c>
      <c r="C35" s="32" t="n">
        <f aca="false">B35*(1-$A35+Assumptions!$C$6)+'ARR Model'!C$14</f>
        <v>295.5149</v>
      </c>
      <c r="D35" s="32" t="n">
        <f aca="false">C35*(1-$A35+Assumptions!$C$6)+'ARR Model'!D$14</f>
        <v>340.1021335</v>
      </c>
      <c r="E35" s="32" t="n">
        <f aca="false">D35*(1-$A35+Assumptions!$C$6)+'ARR Model'!E$14</f>
        <v>389.062074569167</v>
      </c>
      <c r="F35" s="32" t="n">
        <f aca="false">E35*(1-$A35+Assumptions!$C$6)+'ARR Model'!F$14</f>
        <v>442.580495693615</v>
      </c>
      <c r="G35" s="32" t="n">
        <f aca="false">F35*(1-$A35+Assumptions!$C$6)+'ARR Model'!G$14</f>
        <v>500.826874814528</v>
      </c>
      <c r="H35" s="32" t="n">
        <f aca="false">G35*(1-$A35+Assumptions!$C$6)+'ARR Model'!H$14</f>
        <v>563.953191573391</v>
      </c>
      <c r="I35" s="32" t="n">
        <f aca="false">H35*(1-$A35+Assumptions!$C$6)+'ARR Model'!I$14</f>
        <v>632.093292095234</v>
      </c>
      <c r="J35" s="32" t="n">
        <f aca="false">I35*(1-$A35+Assumptions!$C$6)+'ARR Model'!J$14</f>
        <v>705.362886603565</v>
      </c>
      <c r="K35" s="32" t="n">
        <f aca="false">J35*(1-$A35+Assumptions!$C$6)+'ARR Model'!K$14</f>
        <v>783.860225450306</v>
      </c>
      <c r="L35" s="32" t="n">
        <f aca="false">K35*(1-$A35+Assumptions!$C$6)+'ARR Model'!L$14</f>
        <v>867.667477435707</v>
      </c>
      <c r="M35" s="32" t="n">
        <f aca="false">SUMPRODUCT((B35:K35+C35:L35)/2*Inputs!$B$36,'ARR Model'!$C$10:$L$10,DCF!$C$5:$L$5)+AVERAGE(K35,L35)*Inputs!$B$36*'ARR Model'!$L$10*(1+Assumptions!$C$14)/(Assumptions!$C$13-Assumptions!$C$14)*DCF!$L$5</f>
        <v>1812.16980126277</v>
      </c>
      <c r="N35" s="28" t="n">
        <f aca="false">(M35+Inputs!$B$9-Inputs!$B$10)/Inputs!$B$6*Inputs!$B$7</f>
        <v>100.020698187595</v>
      </c>
    </row>
    <row r="36" customFormat="false" ht="15" hidden="false" customHeight="false" outlineLevel="0" collapsed="false">
      <c r="A36" s="18" t="n">
        <v>0.03</v>
      </c>
      <c r="B36" s="31" t="n">
        <f aca="false">'ARR Model'!$B$17</f>
        <v>255.1</v>
      </c>
      <c r="C36" s="32" t="n">
        <f aca="false">B36*(1-$A36+Assumptions!$C$6)+'ARR Model'!C$14</f>
        <v>294.2394</v>
      </c>
      <c r="D36" s="32" t="n">
        <f aca="false">C36*(1-$A36+Assumptions!$C$6)+'ARR Model'!D$14</f>
        <v>337.285284</v>
      </c>
      <c r="E36" s="32" t="n">
        <f aca="false">D36*(1-$A36+Assumptions!$C$6)+'ARR Model'!E$14</f>
        <v>384.403871926667</v>
      </c>
      <c r="F36" s="32" t="n">
        <f aca="false">E36*(1-$A36+Assumptions!$C$6)+'ARR Model'!F$14</f>
        <v>435.744072546145</v>
      </c>
      <c r="G36" s="32" t="n">
        <f aca="false">F36*(1-$A36+Assumptions!$C$6)+'ARR Model'!G$14</f>
        <v>491.435728031215</v>
      </c>
      <c r="H36" s="32" t="n">
        <f aca="false">G36*(1-$A36+Assumptions!$C$6)+'ARR Model'!H$14</f>
        <v>551.58835307684</v>
      </c>
      <c r="I36" s="32" t="n">
        <f aca="false">H36*(1-$A36+Assumptions!$C$6)+'ARR Model'!I$14</f>
        <v>616.290445715989</v>
      </c>
      <c r="J36" s="32" t="n">
        <f aca="false">I36*(1-$A36+Assumptions!$C$6)+'ARR Model'!J$14</f>
        <v>685.609431444882</v>
      </c>
      <c r="K36" s="32" t="n">
        <f aca="false">J36*(1-$A36+Assumptions!$C$6)+'ARR Model'!K$14</f>
        <v>759.592283100671</v>
      </c>
      <c r="L36" s="32" t="n">
        <f aca="false">K36*(1-$A36+Assumptions!$C$6)+'ARR Model'!L$14</f>
        <v>838.266836841338</v>
      </c>
      <c r="M36" s="32" t="n">
        <f aca="false">SUMPRODUCT((B36:K36+C36:L36)/2*Inputs!$B$36,'ARR Model'!$C$10:$L$10,DCF!$C$5:$L$5)+AVERAGE(K36,L36)*Inputs!$B$36*'ARR Model'!$L$10*(1+Assumptions!$C$14)/(Assumptions!$C$13-Assumptions!$C$14)*DCF!$L$5</f>
        <v>1762.59956619738</v>
      </c>
      <c r="N36" s="28" t="n">
        <f aca="false">(M36+Inputs!$B$9-Inputs!$B$10)/Inputs!$B$6*Inputs!$B$7</f>
        <v>97.2193342019362</v>
      </c>
    </row>
    <row r="37" customFormat="false" ht="15" hidden="false" customHeight="false" outlineLevel="0" collapsed="false">
      <c r="A37" s="18" t="n">
        <v>0.035</v>
      </c>
      <c r="B37" s="31" t="n">
        <f aca="false">'ARR Model'!$B$17</f>
        <v>255.1</v>
      </c>
      <c r="C37" s="32" t="n">
        <f aca="false">B37*(1-$A37+Assumptions!$C$6)+'ARR Model'!C$14</f>
        <v>292.9639</v>
      </c>
      <c r="D37" s="32" t="n">
        <f aca="false">C37*(1-$A37+Assumptions!$C$6)+'ARR Model'!D$14</f>
        <v>334.4811895</v>
      </c>
      <c r="E37" s="32" t="n">
        <f aca="false">D37*(1-$A37+Assumptions!$C$6)+'ARR Model'!E$14</f>
        <v>379.787166754167</v>
      </c>
      <c r="F37" s="32" t="n">
        <f aca="false">E37*(1-$A37+Assumptions!$C$6)+'ARR Model'!F$14</f>
        <v>428.997596281249</v>
      </c>
      <c r="G37" s="32" t="n">
        <f aca="false">F37*(1-$A37+Assumptions!$C$6)+'ARR Model'!G$14</f>
        <v>482.206939971668</v>
      </c>
      <c r="H37" s="32" t="n">
        <f aca="false">G37*(1-$A37+Assumptions!$C$6)+'ARR Model'!H$14</f>
        <v>539.487090914457</v>
      </c>
      <c r="I37" s="32" t="n">
        <f aca="false">H37*(1-$A37+Assumptions!$C$6)+'ARR Model'!I$14</f>
        <v>600.886684990915</v>
      </c>
      <c r="J37" s="32" t="n">
        <f aca="false">I37*(1-$A37+Assumptions!$C$6)+'ARR Model'!J$14</f>
        <v>666.431049258599</v>
      </c>
      <c r="K37" s="32" t="n">
        <f aca="false">J37*(1-$A37+Assumptions!$C$6)+'ARR Model'!K$14</f>
        <v>736.122826558781</v>
      </c>
      <c r="L37" s="32" t="n">
        <f aca="false">K37*(1-$A37+Assumptions!$C$6)+'ARR Model'!L$14</f>
        <v>809.94329333956</v>
      </c>
      <c r="M37" s="32" t="n">
        <f aca="false">SUMPRODUCT((B37:K37+C37:L37)/2*Inputs!$B$36,'ARR Model'!$C$10:$L$10,DCF!$C$5:$L$5)+AVERAGE(K37,L37)*Inputs!$B$36*'ARR Model'!$L$10*(1+Assumptions!$C$14)/(Assumptions!$C$13-Assumptions!$C$14)*DCF!$L$5</f>
        <v>1714.61034554844</v>
      </c>
      <c r="N37" s="28" t="n">
        <f aca="false">(M37+Inputs!$B$9-Inputs!$B$10)/Inputs!$B$6*Inputs!$B$7</f>
        <v>94.5073181251822</v>
      </c>
    </row>
    <row r="38" customFormat="false" ht="15" hidden="false" customHeight="false" outlineLevel="0" collapsed="false">
      <c r="A38" s="18" t="n">
        <v>0.04</v>
      </c>
      <c r="B38" s="31" t="n">
        <f aca="false">'ARR Model'!$B$17</f>
        <v>255.1</v>
      </c>
      <c r="C38" s="32" t="n">
        <f aca="false">B38*(1-$A38+Assumptions!$C$6)+'ARR Model'!C$14</f>
        <v>291.6884</v>
      </c>
      <c r="D38" s="32" t="n">
        <f aca="false">C38*(1-$A38+Assumptions!$C$6)+'ARR Model'!D$14</f>
        <v>331.68985</v>
      </c>
      <c r="E38" s="32" t="n">
        <f aca="false">D38*(1-$A38+Assumptions!$C$6)+'ARR Model'!E$14</f>
        <v>375.211767726667</v>
      </c>
      <c r="F38" s="32" t="n">
        <f aca="false">E38*(1-$A38+Assumptions!$C$6)+'ARR Model'!F$14</f>
        <v>422.340245458878</v>
      </c>
      <c r="G38" s="32" t="n">
        <f aca="false">F38*(1-$A38+Assumptions!$C$6)+'ARR Model'!G$14</f>
        <v>473.138307134997</v>
      </c>
      <c r="H38" s="32" t="n">
        <f aca="false">G38*(1-$A38+Assumptions!$C$6)+'ARR Model'!H$14</f>
        <v>527.644678064461</v>
      </c>
      <c r="I38" s="32" t="n">
        <f aca="false">H38*(1-$A38+Assumptions!$C$6)+'ARR Model'!I$14</f>
        <v>585.873140172346</v>
      </c>
      <c r="J38" s="32" t="n">
        <f aca="false">I38*(1-$A38+Assumptions!$C$6)+'ARR Model'!J$14</f>
        <v>647.812529222333</v>
      </c>
      <c r="K38" s="32" t="n">
        <f aca="false">J38*(1-$A38+Assumptions!$C$6)+'ARR Model'!K$14</f>
        <v>713.427410474772</v>
      </c>
      <c r="L38" s="32" t="n">
        <f aca="false">K38*(1-$A38+Assumptions!$C$6)+'ARR Model'!L$14</f>
        <v>782.659446479396</v>
      </c>
      <c r="M38" s="32" t="n">
        <f aca="false">SUMPRODUCT((B38:K38+C38:L38)/2*Inputs!$B$36,'ARR Model'!$C$10:$L$10,DCF!$C$5:$L$5)+AVERAGE(K38,L38)*Inputs!$B$36*'ARR Model'!$L$10*(1+Assumptions!$C$14)/(Assumptions!$C$13-Assumptions!$C$14)*DCF!$L$5</f>
        <v>1668.15269820559</v>
      </c>
      <c r="N38" s="28" t="n">
        <f aca="false">(M38+Inputs!$B$9-Inputs!$B$10)/Inputs!$B$6*Inputs!$B$7</f>
        <v>91.8818558905762</v>
      </c>
    </row>
    <row r="39" customFormat="false" ht="15" hidden="false" customHeight="false" outlineLevel="0" collapsed="false">
      <c r="A39" s="18" t="n">
        <v>0.045</v>
      </c>
      <c r="B39" s="31" t="n">
        <f aca="false">'ARR Model'!$B$17</f>
        <v>255.1</v>
      </c>
      <c r="C39" s="32" t="n">
        <f aca="false">B39*(1-$A39+Assumptions!$C$6)+'ARR Model'!C$14</f>
        <v>290.4129</v>
      </c>
      <c r="D39" s="32" t="n">
        <f aca="false">C39*(1-$A39+Assumptions!$C$6)+'ARR Model'!D$14</f>
        <v>328.9112655</v>
      </c>
      <c r="E39" s="32" t="n">
        <f aca="false">D39*(1-$A39+Assumptions!$C$6)+'ARR Model'!E$14</f>
        <v>370.677483519167</v>
      </c>
      <c r="F39" s="32" t="n">
        <f aca="false">E39*(1-$A39+Assumptions!$C$6)+'ARR Model'!F$14</f>
        <v>415.771202465482</v>
      </c>
      <c r="G39" s="32" t="n">
        <f aca="false">F39*(1-$A39+Assumptions!$C$6)+'ARR Model'!G$14</f>
        <v>464.227646409537</v>
      </c>
      <c r="H39" s="32" t="n">
        <f aca="false">G39*(1-$A39+Assumptions!$C$6)+'ARR Model'!H$14</f>
        <v>516.056452677935</v>
      </c>
      <c r="I39" s="32" t="n">
        <f aca="false">H39*(1-$A39+Assumptions!$C$6)+'ARR Model'!I$14</f>
        <v>571.24110350697</v>
      </c>
      <c r="J39" s="32" t="n">
        <f aca="false">I39*(1-$A39+Assumptions!$C$6)+'ARR Model'!J$14</f>
        <v>629.739005572807</v>
      </c>
      <c r="K39" s="32" t="n">
        <f aca="false">J39*(1-$A39+Assumptions!$C$6)+'ARR Model'!K$14</f>
        <v>691.4822508514</v>
      </c>
      <c r="L39" s="32" t="n">
        <f aca="false">K39*(1-$A39+Assumptions!$C$6)+'ARR Model'!L$14</f>
        <v>756.379069216833</v>
      </c>
      <c r="M39" s="32" t="n">
        <f aca="false">SUMPRODUCT((B39:K39+C39:L39)/2*Inputs!$B$36,'ARR Model'!$C$10:$L$10,DCF!$C$5:$L$5)+AVERAGE(K39,L39)*Inputs!$B$36*'ARR Model'!$L$10*(1+Assumptions!$C$14)/(Assumptions!$C$13-Assumptions!$C$14)*DCF!$L$5</f>
        <v>1623.17860066357</v>
      </c>
      <c r="N39" s="28" t="n">
        <f aca="false">(M39+Inputs!$B$9-Inputs!$B$10)/Inputs!$B$6*Inputs!$B$7</f>
        <v>89.3402335445144</v>
      </c>
    </row>
    <row r="40" customFormat="false" ht="15" hidden="false" customHeight="false" outlineLevel="0" collapsed="false">
      <c r="A40" s="18" t="n">
        <v>0.05</v>
      </c>
      <c r="B40" s="31" t="n">
        <f aca="false">'ARR Model'!$B$17</f>
        <v>255.1</v>
      </c>
      <c r="C40" s="32" t="n">
        <f aca="false">B40*(1-$A40+Assumptions!$C$6)+'ARR Model'!C$14</f>
        <v>289.1374</v>
      </c>
      <c r="D40" s="32" t="n">
        <f aca="false">C40*(1-$A40+Assumptions!$C$6)+'ARR Model'!D$14</f>
        <v>326.145436</v>
      </c>
      <c r="E40" s="32" t="n">
        <f aca="false">D40*(1-$A40+Assumptions!$C$6)+'ARR Model'!E$14</f>
        <v>366.184122806667</v>
      </c>
      <c r="F40" s="32" t="n">
        <f aca="false">E40*(1-$A40+Assumptions!$C$6)+'ARR Model'!F$14</f>
        <v>409.289653514011</v>
      </c>
      <c r="G40" s="32" t="n">
        <f aca="false">F40*(1-$A40+Assumptions!$C$6)+'ARR Model'!G$14</f>
        <v>455.472794977195</v>
      </c>
      <c r="H40" s="32" t="n">
        <f aca="false">G40*(1-$A40+Assumptions!$C$6)+'ARR Model'!H$14</f>
        <v>504.717817470575</v>
      </c>
      <c r="I40" s="32" t="n">
        <f aca="false">H40*(1-$A40+Assumptions!$C$6)+'ARR Model'!I$14</f>
        <v>556.982026979999</v>
      </c>
      <c r="J40" s="32" t="n">
        <f aca="false">I40*(1-$A40+Assumptions!$C$6)+'ARR Model'!J$14</f>
        <v>612.195951232492</v>
      </c>
      <c r="K40" s="32" t="n">
        <f aca="false">J40*(1-$A40+Assumptions!$C$6)+'ARR Model'!K$14</f>
        <v>670.264209853012</v>
      </c>
      <c r="L40" s="32" t="n">
        <f aca="false">K40*(1-$A40+Assumptions!$C$6)+'ARR Model'!L$14</f>
        <v>731.067075734236</v>
      </c>
      <c r="M40" s="32" t="n">
        <f aca="false">SUMPRODUCT((B40:K40+C40:L40)/2*Inputs!$B$36,'ARR Model'!$C$10:$L$10,DCF!$C$5:$L$5)+AVERAGE(K40,L40)*Inputs!$B$36*'ARR Model'!$L$10*(1+Assumptions!$C$14)/(Assumptions!$C$13-Assumptions!$C$14)*DCF!$L$5</f>
        <v>1579.64141127264</v>
      </c>
      <c r="N40" s="28" t="n">
        <f aca="false">(M40+Inputs!$B$9-Inputs!$B$10)/Inputs!$B$6*Inputs!$B$7</f>
        <v>86.8798152262295</v>
      </c>
    </row>
    <row r="41" customFormat="false" ht="15" hidden="false" customHeight="false" outlineLevel="0" collapsed="false">
      <c r="A41" s="18" t="n">
        <v>0.055</v>
      </c>
      <c r="B41" s="31" t="n">
        <f aca="false">'ARR Model'!$B$17</f>
        <v>255.1</v>
      </c>
      <c r="C41" s="32" t="n">
        <f aca="false">B41*(1-$A41+Assumptions!$C$6)+'ARR Model'!C$14</f>
        <v>287.8619</v>
      </c>
      <c r="D41" s="32" t="n">
        <f aca="false">C41*(1-$A41+Assumptions!$C$6)+'ARR Model'!D$14</f>
        <v>323.3923615</v>
      </c>
      <c r="E41" s="32" t="n">
        <f aca="false">D41*(1-$A41+Assumptions!$C$6)+'ARR Model'!E$14</f>
        <v>361.731494264167</v>
      </c>
      <c r="F41" s="32" t="n">
        <f aca="false">E41*(1-$A41+Assumptions!$C$6)+'ARR Model'!F$14</f>
        <v>402.894788643915</v>
      </c>
      <c r="G41" s="32" t="n">
        <f aca="false">F41*(1-$A41+Assumptions!$C$6)+'ARR Model'!G$14</f>
        <v>446.871610217777</v>
      </c>
      <c r="H41" s="32" t="n">
        <f aca="false">G41*(1-$A41+Assumptions!$C$6)+'ARR Model'!H$14</f>
        <v>493.624239117285</v>
      </c>
      <c r="I41" s="32" t="n">
        <f aca="false">H41*(1-$A41+Assumptions!$C$6)+'ARR Model'!I$14</f>
        <v>543.087520080524</v>
      </c>
      <c r="J41" s="32" t="n">
        <f aca="false">I41*(1-$A41+Assumptions!$C$6)+'ARR Model'!J$14</f>
        <v>595.16917152563</v>
      </c>
      <c r="K41" s="32" t="n">
        <f aca="false">J41*(1-$A41+Assumptions!$C$6)+'ARR Model'!K$14</f>
        <v>649.750780897316</v>
      </c>
      <c r="L41" s="32" t="n">
        <f aca="false">K41*(1-$A41+Assumptions!$C$6)+'ARR Model'!L$14</f>
        <v>706.689490005383</v>
      </c>
      <c r="M41" s="32" t="n">
        <f aca="false">SUMPRODUCT((B41:K41+C41:L41)/2*Inputs!$B$36,'ARR Model'!$C$10:$L$10,DCF!$C$5:$L$5)+AVERAGE(K41,L41)*Inputs!$B$36*'ARR Model'!$L$10*(1+Assumptions!$C$14)/(Assumptions!$C$13-Assumptions!$C$14)*DCF!$L$5</f>
        <v>1537.49583525193</v>
      </c>
      <c r="N41" s="28" t="n">
        <f aca="false">(M41+Inputs!$B$9-Inputs!$B$10)/Inputs!$B$6*Inputs!$B$7</f>
        <v>84.4980411905899</v>
      </c>
    </row>
    <row r="42" customFormat="false" ht="15" hidden="false" customHeight="false" outlineLevel="0" collapsed="false">
      <c r="A42" s="18" t="n">
        <v>0.06</v>
      </c>
      <c r="B42" s="31" t="n">
        <f aca="false">'ARR Model'!$B$17</f>
        <v>255.1</v>
      </c>
      <c r="C42" s="32" t="n">
        <f aca="false">B42*(1-$A42+Assumptions!$C$6)+'ARR Model'!C$14</f>
        <v>286.5864</v>
      </c>
      <c r="D42" s="32" t="n">
        <f aca="false">C42*(1-$A42+Assumptions!$C$6)+'ARR Model'!D$14</f>
        <v>320.652042</v>
      </c>
      <c r="E42" s="32" t="n">
        <f aca="false">D42*(1-$A42+Assumptions!$C$6)+'ARR Model'!E$14</f>
        <v>357.319406566667</v>
      </c>
      <c r="F42" s="32" t="n">
        <f aca="false">E42*(1-$A42+Assumptions!$C$6)+'ARR Model'!F$14</f>
        <v>396.585801721145</v>
      </c>
      <c r="G42" s="32" t="n">
        <f aca="false">F42*(1-$A42+Assumptions!$C$6)+'ARR Model'!G$14</f>
        <v>438.421969613331</v>
      </c>
      <c r="H42" s="32" t="n">
        <f aca="false">G42*(1-$A42+Assumptions!$C$6)+'ARR Model'!H$14</f>
        <v>482.771247649662</v>
      </c>
      <c r="I42" s="32" t="n">
        <f aca="false">H42*(1-$A42+Assumptions!$C$6)+'ARR Model'!I$14</f>
        <v>529.549347587962</v>
      </c>
      <c r="J42" s="32" t="n">
        <f aca="false">I42*(1-$A42+Assumptions!$C$6)+'ARR Model'!J$14</f>
        <v>578.644797982814</v>
      </c>
      <c r="K42" s="32" t="n">
        <f aca="false">J42*(1-$A42+Assumptions!$C$6)+'ARR Model'!K$14</f>
        <v>629.920074026016</v>
      </c>
      <c r="L42" s="32" t="n">
        <f aca="false">K42*(1-$A42+Assumptions!$C$6)+'ARR Model'!L$14</f>
        <v>683.21341509217</v>
      </c>
      <c r="M42" s="32" t="n">
        <f aca="false">SUMPRODUCT((B42:K42+C42:L42)/2*Inputs!$B$36,'ARR Model'!$C$10:$L$10,DCF!$C$5:$L$5)+AVERAGE(K42,L42)*Inputs!$B$36*'ARR Model'!$L$10*(1+Assumptions!$C$14)/(Assumptions!$C$13-Assumptions!$C$14)*DCF!$L$5</f>
        <v>1496.69789045261</v>
      </c>
      <c r="N42" s="28" t="n">
        <f aca="false">(M42+Inputs!$B$9-Inputs!$B$10)/Inputs!$B$6*Inputs!$B$7</f>
        <v>82.1924258732735</v>
      </c>
    </row>
    <row r="43" customFormat="false" ht="15" hidden="false" customHeight="false" outlineLevel="0" collapsed="false">
      <c r="A43" s="18" t="n">
        <v>0.065</v>
      </c>
      <c r="B43" s="31" t="n">
        <f aca="false">'ARR Model'!$B$17</f>
        <v>255.1</v>
      </c>
      <c r="C43" s="32" t="n">
        <f aca="false">B43*(1-$A43+Assumptions!$C$6)+'ARR Model'!C$14</f>
        <v>285.3109</v>
      </c>
      <c r="D43" s="32" t="n">
        <f aca="false">C43*(1-$A43+Assumptions!$C$6)+'ARR Model'!D$14</f>
        <v>317.9244775</v>
      </c>
      <c r="E43" s="32" t="n">
        <f aca="false">D43*(1-$A43+Assumptions!$C$6)+'ARR Model'!E$14</f>
        <v>352.947668389167</v>
      </c>
      <c r="F43" s="32" t="n">
        <f aca="false">E43*(1-$A43+Assumptions!$C$6)+'ARR Model'!F$14</f>
        <v>390.361890438149</v>
      </c>
      <c r="G43" s="32" t="n">
        <f aca="false">F43*(1-$A43+Assumptions!$C$6)+'ARR Model'!G$14</f>
        <v>430.121770652485</v>
      </c>
      <c r="H43" s="32" t="n">
        <f aca="false">G43*(1-$A43+Assumptions!$C$6)+'ARR Model'!H$14</f>
        <v>472.154435856336</v>
      </c>
      <c r="I43" s="32" t="n">
        <f aca="false">H43*(1-$A43+Assumptions!$C$6)+'ARR Model'!I$14</f>
        <v>516.359427379488</v>
      </c>
      <c r="J43" s="32" t="n">
        <f aca="false">I43*(1-$A43+Assumptions!$C$6)+'ARR Model'!J$14</f>
        <v>562.609282233274</v>
      </c>
      <c r="K43" s="32" t="n">
        <f aca="false">J43*(1-$A43+Assumptions!$C$6)+'ARR Model'!K$14</f>
        <v>610.750801550318</v>
      </c>
      <c r="L43" s="32" t="n">
        <f aca="false">K43*(1-$A43+Assumptions!$C$6)+'ARR Model'!L$14</f>
        <v>660.607003159207</v>
      </c>
      <c r="M43" s="32" t="n">
        <f aca="false">SUMPRODUCT((B43:K43+C43:L43)/2*Inputs!$B$36,'ARR Model'!$C$10:$L$10,DCF!$C$5:$L$5)+AVERAGE(K43,L43)*Inputs!$B$36*'ARR Model'!$L$10*(1+Assumptions!$C$14)/(Assumptions!$C$13-Assumptions!$C$14)*DCF!$L$5</f>
        <v>1457.2048738579</v>
      </c>
      <c r="N43" s="28" t="n">
        <f aca="false">(M43+Inputs!$B$9-Inputs!$B$10)/Inputs!$B$6*Inputs!$B$7</f>
        <v>79.9605559975808</v>
      </c>
    </row>
    <row r="44" customFormat="false" ht="15" hidden="false" customHeight="false" outlineLevel="0" collapsed="false">
      <c r="A44" s="18" t="n">
        <v>0.07</v>
      </c>
      <c r="B44" s="31" t="n">
        <f aca="false">'ARR Model'!$B$17</f>
        <v>255.1</v>
      </c>
      <c r="C44" s="32" t="n">
        <f aca="false">B44*(1-$A44+Assumptions!$C$6)+'ARR Model'!C$14</f>
        <v>284.0354</v>
      </c>
      <c r="D44" s="32" t="n">
        <f aca="false">C44*(1-$A44+Assumptions!$C$6)+'ARR Model'!D$14</f>
        <v>315.209668</v>
      </c>
      <c r="E44" s="32" t="n">
        <f aca="false">D44*(1-$A44+Assumptions!$C$6)+'ARR Model'!E$14</f>
        <v>348.616088406667</v>
      </c>
      <c r="F44" s="32" t="n">
        <f aca="false">E44*(1-$A44+Assumptions!$C$6)+'ARR Model'!F$14</f>
        <v>384.222256313878</v>
      </c>
      <c r="G44" s="32" t="n">
        <f aca="false">F44*(1-$A44+Assumptions!$C$6)+'ARR Model'!G$14</f>
        <v>421.96893073478</v>
      </c>
      <c r="H44" s="32" t="n">
        <f aca="false">G44*(1-$A44+Assumptions!$C$6)+'ARR Model'!H$14</f>
        <v>461.769458686192</v>
      </c>
      <c r="I44" s="32" t="n">
        <f aca="false">H44*(1-$A44+Assumptions!$C$6)+'ARR Model'!I$14</f>
        <v>503.509828258361</v>
      </c>
      <c r="J44" s="32" t="n">
        <f aca="false">I44*(1-$A44+Assumptions!$C$6)+'ARR Model'!J$14</f>
        <v>547.049389984038</v>
      </c>
      <c r="K44" s="32" t="n">
        <f aca="false">J44*(1-$A44+Assumptions!$C$6)+'ARR Model'!K$14</f>
        <v>592.222263967423</v>
      </c>
      <c r="L44" s="32" t="n">
        <f aca="false">K44*(1-$A44+Assumptions!$C$6)+'ARR Model'!L$14</f>
        <v>638.839426192731</v>
      </c>
      <c r="M44" s="32" t="n">
        <f aca="false">SUMPRODUCT((B44:K44+C44:L44)/2*Inputs!$B$36,'ARR Model'!$C$10:$L$10,DCF!$C$5:$L$5)+AVERAGE(K44,L44)*Inputs!$B$36*'ARR Model'!$L$10*(1+Assumptions!$C$14)/(Assumptions!$C$13-Assumptions!$C$14)*DCF!$L$5</f>
        <v>1418.97532880711</v>
      </c>
      <c r="N44" s="28" t="n">
        <f aca="false">(M44+Inputs!$B$9-Inputs!$B$10)/Inputs!$B$6*Inputs!$B$7</f>
        <v>77.8000887221655</v>
      </c>
    </row>
    <row r="45" customFormat="false" ht="15" hidden="false" customHeight="false" outlineLevel="0" collapsed="false">
      <c r="A45" s="18" t="n">
        <v>0.075</v>
      </c>
      <c r="B45" s="31" t="n">
        <f aca="false">'ARR Model'!$B$17</f>
        <v>255.1</v>
      </c>
      <c r="C45" s="32" t="n">
        <f aca="false">B45*(1-$A45+Assumptions!$C$6)+'ARR Model'!C$14</f>
        <v>282.7599</v>
      </c>
      <c r="D45" s="32" t="n">
        <f aca="false">C45*(1-$A45+Assumptions!$C$6)+'ARR Model'!D$14</f>
        <v>312.5076135</v>
      </c>
      <c r="E45" s="32" t="n">
        <f aca="false">D45*(1-$A45+Assumptions!$C$6)+'ARR Model'!E$14</f>
        <v>344.324475294167</v>
      </c>
      <c r="F45" s="32" t="n">
        <f aca="false">E45*(1-$A45+Assumptions!$C$6)+'ARR Model'!F$14</f>
        <v>378.166104693782</v>
      </c>
      <c r="G45" s="32" t="n">
        <f aca="false">F45*(1-$A45+Assumptions!$C$6)+'ARR Model'!G$14</f>
        <v>413.961387075015</v>
      </c>
      <c r="H45" s="32" t="n">
        <f aca="false">G45*(1-$A45+Assumptions!$C$6)+'ARR Model'!H$14</f>
        <v>451.612032654454</v>
      </c>
      <c r="I45" s="32" t="n">
        <f aca="false">H45*(1-$A45+Assumptions!$C$6)+'ARR Model'!I$14</f>
        <v>490.992767803033</v>
      </c>
      <c r="J45" s="32" t="n">
        <f aca="false">I45*(1-$A45+Assumptions!$C$6)+'ARR Model'!J$14</f>
        <v>531.952195085142</v>
      </c>
      <c r="K45" s="32" t="n">
        <f aca="false">J45*(1-$A45+Assumptions!$C$6)+'ARR Model'!K$14</f>
        <v>574.314336144113</v>
      </c>
      <c r="L45" s="32" t="n">
        <f aca="false">K45*(1-$A45+Assumptions!$C$6)+'ARR Model'!L$14</f>
        <v>617.880847410467</v>
      </c>
      <c r="M45" s="32" t="n">
        <f aca="false">SUMPRODUCT((B45:K45+C45:L45)/2*Inputs!$B$36,'ARR Model'!$C$10:$L$10,DCF!$C$5:$L$5)+AVERAGE(K45,L45)*Inputs!$B$36*'ARR Model'!$L$10*(1+Assumptions!$C$14)/(Assumptions!$C$13-Assumptions!$C$14)*DCF!$L$5</f>
        <v>1381.96901293101</v>
      </c>
      <c r="N45" s="28" t="n">
        <f aca="false">(M45+Inputs!$B$9-Inputs!$B$10)/Inputs!$B$6*Inputs!$B$7</f>
        <v>75.7087498289668</v>
      </c>
    </row>
    <row r="46" customFormat="false" ht="15" hidden="false" customHeight="false" outlineLevel="0" collapsed="false">
      <c r="A46" s="18" t="n">
        <v>0.08</v>
      </c>
      <c r="B46" s="31" t="n">
        <f aca="false">'ARR Model'!$B$17</f>
        <v>255.1</v>
      </c>
      <c r="C46" s="32" t="n">
        <f aca="false">B46*(1-$A46+Assumptions!$C$6)+'ARR Model'!C$14</f>
        <v>281.4844</v>
      </c>
      <c r="D46" s="32" t="n">
        <f aca="false">C46*(1-$A46+Assumptions!$C$6)+'ARR Model'!D$14</f>
        <v>309.818314</v>
      </c>
      <c r="E46" s="32" t="n">
        <f aca="false">D46*(1-$A46+Assumptions!$C$6)+'ARR Model'!E$14</f>
        <v>340.072637726667</v>
      </c>
      <c r="F46" s="32" t="n">
        <f aca="false">E46*(1-$A46+Assumptions!$C$6)+'ARR Model'!F$14</f>
        <v>372.192644749811</v>
      </c>
      <c r="G46" s="32" t="n">
        <f aca="false">F46*(1-$A46+Assumptions!$C$6)+'ARR Model'!G$14</f>
        <v>406.097096607575</v>
      </c>
      <c r="H46" s="32" t="n">
        <f aca="false">G46*(1-$A46+Assumptions!$C$6)+'ARR Model'!H$14</f>
        <v>441.677935251639</v>
      </c>
      <c r="I46" s="32" t="n">
        <f aca="false">H46*(1-$A46+Assumptions!$C$6)+'ARR Model'!I$14</f>
        <v>478.800610236946</v>
      </c>
      <c r="J46" s="32" t="n">
        <f aca="false">I46*(1-$A46+Assumptions!$C$6)+'ARR Model'!J$14</f>
        <v>517.305073680039</v>
      </c>
      <c r="K46" s="32" t="n">
        <f aca="false">J46*(1-$A46+Assumptions!$C$6)+'ARR Model'!K$14</f>
        <v>557.007453763584</v>
      </c>
      <c r="L46" s="32" t="n">
        <f aca="false">K46*(1-$A46+Assumptions!$C$6)+'ARR Model'!L$14</f>
        <v>597.702393349218</v>
      </c>
      <c r="M46" s="32" t="n">
        <f aca="false">SUMPRODUCT((B46:K46+C46:L46)/2*Inputs!$B$36,'ARR Model'!$C$10:$L$10,DCF!$C$5:$L$5)+AVERAGE(K46,L46)*Inputs!$B$36*'ARR Model'!$L$10*(1+Assumptions!$C$14)/(Assumptions!$C$13-Assumptions!$C$14)*DCF!$L$5</f>
        <v>1346.14686678611</v>
      </c>
      <c r="N46" s="28" t="n">
        <f aca="false">(M46+Inputs!$B$9-Inputs!$B$10)/Inputs!$B$6*Inputs!$B$7</f>
        <v>73.6843319506377</v>
      </c>
    </row>
    <row r="47" customFormat="false" ht="15" hidden="false" customHeight="false" outlineLevel="0" collapsed="false">
      <c r="A47" s="18" t="n">
        <v>0.085</v>
      </c>
      <c r="B47" s="31" t="n">
        <f aca="false">'ARR Model'!$B$17</f>
        <v>255.1</v>
      </c>
      <c r="C47" s="32" t="n">
        <f aca="false">B47*(1-$A47+Assumptions!$C$6)+'ARR Model'!C$14</f>
        <v>280.2089</v>
      </c>
      <c r="D47" s="32" t="n">
        <f aca="false">C47*(1-$A47+Assumptions!$C$6)+'ARR Model'!D$14</f>
        <v>307.1417695</v>
      </c>
      <c r="E47" s="32" t="n">
        <f aca="false">D47*(1-$A47+Assumptions!$C$6)+'ARR Model'!E$14</f>
        <v>335.860384379167</v>
      </c>
      <c r="F47" s="32" t="n">
        <f aca="false">E47*(1-$A47+Assumptions!$C$6)+'ARR Model'!F$14</f>
        <v>366.301089480415</v>
      </c>
      <c r="G47" s="32" t="n">
        <f aca="false">F47*(1-$A47+Assumptions!$C$6)+'ARR Model'!G$14</f>
        <v>398.374035890777</v>
      </c>
      <c r="H47" s="32" t="n">
        <f aca="false">G47*(1-$A47+Assumptions!$C$6)+'ARR Model'!H$14</f>
        <v>431.963004355387</v>
      </c>
      <c r="I47" s="32" t="n">
        <f aca="false">H47*(1-$A47+Assumptions!$C$6)+'ARR Model'!I$14</f>
        <v>466.925864318917</v>
      </c>
      <c r="J47" s="32" t="n">
        <f aca="false">I47*(1-$A47+Assumptions!$C$6)+'ARR Model'!J$14</f>
        <v>503.095698440416</v>
      </c>
      <c r="K47" s="32" t="n">
        <f aca="false">J47*(1-$A47+Assumptions!$C$6)+'ARR Model'!K$14</f>
        <v>540.282600031759</v>
      </c>
      <c r="L47" s="32" t="n">
        <f aca="false">K47*(1-$A47+Assumptions!$C$6)+'ARR Model'!L$14</f>
        <v>578.276126617234</v>
      </c>
      <c r="M47" s="32" t="n">
        <f aca="false">SUMPRODUCT((B47:K47+C47:L47)/2*Inputs!$B$36,'ARR Model'!$C$10:$L$10,DCF!$C$5:$L$5)+AVERAGE(K47,L47)*Inputs!$B$36*'ARR Model'!$L$10*(1+Assumptions!$C$14)/(Assumptions!$C$13-Assumptions!$C$14)*DCF!$L$5</f>
        <v>1311.47098317556</v>
      </c>
      <c r="N47" s="28" t="n">
        <f aca="false">(M47+Inputs!$B$9-Inputs!$B$10)/Inputs!$B$6*Inputs!$B$7</f>
        <v>71.7246928367753</v>
      </c>
    </row>
    <row r="48" customFormat="false" ht="15" hidden="false" customHeight="false" outlineLevel="0" collapsed="false">
      <c r="A48" s="18" t="n">
        <v>0.09</v>
      </c>
      <c r="B48" s="31" t="n">
        <f aca="false">'ARR Model'!$B$17</f>
        <v>255.1</v>
      </c>
      <c r="C48" s="32" t="n">
        <f aca="false">B48*(1-$A48+Assumptions!$C$6)+'ARR Model'!C$14</f>
        <v>278.9334</v>
      </c>
      <c r="D48" s="32" t="n">
        <f aca="false">C48*(1-$A48+Assumptions!$C$6)+'ARR Model'!D$14</f>
        <v>304.47798</v>
      </c>
      <c r="E48" s="32" t="n">
        <f aca="false">D48*(1-$A48+Assumptions!$C$6)+'ARR Model'!E$14</f>
        <v>331.687523926667</v>
      </c>
      <c r="F48" s="32" t="n">
        <f aca="false">E48*(1-$A48+Assumptions!$C$6)+'ARR Model'!F$14</f>
        <v>360.490655710544</v>
      </c>
      <c r="G48" s="32" t="n">
        <f aca="false">F48*(1-$A48+Assumptions!$C$6)+'ARR Model'!G$14</f>
        <v>390.790201011203</v>
      </c>
      <c r="H48" s="32" t="n">
        <f aca="false">G48*(1-$A48+Assumptions!$C$6)+'ARR Model'!H$14</f>
        <v>422.463137645155</v>
      </c>
      <c r="I48" s="32" t="n">
        <f aca="false">H48*(1-$A48+Assumptions!$C$6)+'ARR Model'!I$14</f>
        <v>455.36118125401</v>
      </c>
      <c r="J48" s="32" t="n">
        <f aca="false">I48*(1-$A48+Assumptions!$C$6)+'ARR Model'!J$14</f>
        <v>489.312032884563</v>
      </c>
      <c r="K48" s="32" t="n">
        <f aca="false">J48*(1-$A48+Assumptions!$C$6)+'ARR Model'!K$14</f>
        <v>524.121292639263</v>
      </c>
      <c r="L48" s="32" t="n">
        <f aca="false">K48*(1-$A48+Assumptions!$C$6)+'ARR Model'!L$14</f>
        <v>559.575019298504</v>
      </c>
      <c r="M48" s="32" t="n">
        <f aca="false">SUMPRODUCT((B48:K48+C48:L48)/2*Inputs!$B$36,'ARR Model'!$C$10:$L$10,DCF!$C$5:$L$5)+AVERAGE(K48,L48)*Inputs!$B$36*'ARR Model'!$L$10*(1+Assumptions!$C$14)/(Assumptions!$C$13-Assumptions!$C$14)*DCF!$L$5</f>
        <v>1277.90457714449</v>
      </c>
      <c r="N48" s="28" t="n">
        <f aca="false">(M48+Inputs!$B$9-Inputs!$B$10)/Inputs!$B$6*Inputs!$B$7</f>
        <v>69.8277536582657</v>
      </c>
    </row>
    <row r="49" customFormat="false" ht="15" hidden="false" customHeight="false" outlineLevel="0" collapsed="false">
      <c r="A49" s="18" t="n">
        <v>0.095</v>
      </c>
      <c r="B49" s="31" t="n">
        <f aca="false">'ARR Model'!$B$17</f>
        <v>255.1</v>
      </c>
      <c r="C49" s="32" t="n">
        <f aca="false">B49*(1-$A49+Assumptions!$C$6)+'ARR Model'!C$14</f>
        <v>277.6579</v>
      </c>
      <c r="D49" s="32" t="n">
        <f aca="false">C49*(1-$A49+Assumptions!$C$6)+'ARR Model'!D$14</f>
        <v>301.8269455</v>
      </c>
      <c r="E49" s="32" t="n">
        <f aca="false">D49*(1-$A49+Assumptions!$C$6)+'ARR Model'!E$14</f>
        <v>327.553865044167</v>
      </c>
      <c r="F49" s="32" t="n">
        <f aca="false">E49*(1-$A49+Assumptions!$C$6)+'ARR Model'!F$14</f>
        <v>354.760564091649</v>
      </c>
      <c r="G49" s="32" t="n">
        <f aca="false">F49*(1-$A49+Assumptions!$C$6)+'ARR Model'!G$14</f>
        <v>383.343607488037</v>
      </c>
      <c r="H49" s="32" t="n">
        <f aca="false">G49*(1-$A49+Assumptions!$C$6)+'ARR Model'!H$14</f>
        <v>413.174292019781</v>
      </c>
      <c r="I49" s="32" t="n">
        <f aca="false">H49*(1-$A49+Assumptions!$C$6)+'ARR Model'!I$14</f>
        <v>444.099352624791</v>
      </c>
      <c r="J49" s="32" t="n">
        <f aca="false">I49*(1-$A49+Assumptions!$C$6)+'ARR Model'!J$14</f>
        <v>475.942325778513</v>
      </c>
      <c r="K49" s="32" t="n">
        <f aca="false">J49*(1-$A49+Assumptions!$C$6)+'ARR Model'!K$14</f>
        <v>508.50557097538</v>
      </c>
      <c r="L49" s="32" t="n">
        <f aca="false">K49*(1-$A49+Assumptions!$C$6)+'ARR Model'!L$14</f>
        <v>541.572926996383</v>
      </c>
      <c r="M49" s="32" t="n">
        <f aca="false">SUMPRODUCT((B49:K49+C49:L49)/2*Inputs!$B$36,'ARR Model'!$C$10:$L$10,DCF!$C$5:$L$5)+AVERAGE(K49,L49)*Inputs!$B$36*'ARR Model'!$L$10*(1+Assumptions!$C$14)/(Assumptions!$C$13-Assumptions!$C$14)*DCF!$L$5</f>
        <v>1245.41195663773</v>
      </c>
      <c r="N49" s="28" t="n">
        <f aca="false">(M49+Inputs!$B$9-Inputs!$B$10)/Inputs!$B$6*Inputs!$B$7</f>
        <v>67.9914973490662</v>
      </c>
    </row>
    <row r="50" customFormat="false" ht="15" hidden="false" customHeight="false" outlineLevel="0" collapsed="false">
      <c r="A50" s="18" t="n">
        <v>0.1</v>
      </c>
      <c r="B50" s="31" t="n">
        <f aca="false">'ARR Model'!$B$17</f>
        <v>255.1</v>
      </c>
      <c r="C50" s="32" t="n">
        <f aca="false">B50*(1-$A50+Assumptions!$C$6)+'ARR Model'!C$14</f>
        <v>276.3824</v>
      </c>
      <c r="D50" s="32" t="n">
        <f aca="false">C50*(1-$A50+Assumptions!$C$6)+'ARR Model'!D$14</f>
        <v>299.188666</v>
      </c>
      <c r="E50" s="32" t="n">
        <f aca="false">D50*(1-$A50+Assumptions!$C$6)+'ARR Model'!E$14</f>
        <v>323.459216406667</v>
      </c>
      <c r="F50" s="32" t="n">
        <f aca="false">E50*(1-$A50+Assumptions!$C$6)+'ARR Model'!F$14</f>
        <v>349.110039101678</v>
      </c>
      <c r="G50" s="32" t="n">
        <f aca="false">F50*(1-$A50+Assumptions!$C$6)+'ARR Model'!G$14</f>
        <v>376.032290177408</v>
      </c>
      <c r="H50" s="32" t="n">
        <f aca="false">G50*(1-$A50+Assumptions!$C$6)+'ARR Model'!H$14</f>
        <v>404.092483017924</v>
      </c>
      <c r="I50" s="32" t="n">
        <f aca="false">H50*(1-$A50+Assumptions!$C$6)+'ARR Model'!I$14</f>
        <v>433.133308342872</v>
      </c>
      <c r="J50" s="32" t="n">
        <f aca="false">I50*(1-$A50+Assumptions!$C$6)+'ARR Model'!J$14</f>
        <v>462.975105619108</v>
      </c>
      <c r="K50" s="32" t="n">
        <f aca="false">J50*(1-$A50+Assumptions!$C$6)+'ARR Model'!K$14</f>
        <v>493.417983590271</v>
      </c>
      <c r="L50" s="32" t="n">
        <f aca="false">K50*(1-$A50+Assumptions!$C$6)+'ARR Model'!L$14</f>
        <v>524.244563504099</v>
      </c>
      <c r="M50" s="32" t="n">
        <f aca="false">SUMPRODUCT((B50:K50+C50:L50)/2*Inputs!$B$36,'ARR Model'!$C$10:$L$10,DCF!$C$5:$L$5)+AVERAGE(K50,L50)*Inputs!$B$36*'ARR Model'!$L$10*(1+Assumptions!$C$14)/(Assumptions!$C$13-Assumptions!$C$14)*DCF!$L$5</f>
        <v>1213.95849380828</v>
      </c>
      <c r="N50" s="28" t="n">
        <f aca="false">(M50+Inputs!$B$9-Inputs!$B$10)/Inputs!$B$6*Inputs!$B$7</f>
        <v>66.2139669847566</v>
      </c>
    </row>
    <row r="51" customFormat="false" ht="15" hidden="false" customHeight="false" outlineLevel="0" collapsed="false">
      <c r="A51" s="18" t="n">
        <v>0.105</v>
      </c>
      <c r="B51" s="31" t="n">
        <f aca="false">'ARR Model'!$B$17</f>
        <v>255.1</v>
      </c>
      <c r="C51" s="32" t="n">
        <f aca="false">B51*(1-$A51+Assumptions!$C$6)+'ARR Model'!C$14</f>
        <v>275.1069</v>
      </c>
      <c r="D51" s="32" t="n">
        <f aca="false">C51*(1-$A51+Assumptions!$C$6)+'ARR Model'!D$14</f>
        <v>296.5631415</v>
      </c>
      <c r="E51" s="32" t="n">
        <f aca="false">D51*(1-$A51+Assumptions!$C$6)+'ARR Model'!E$14</f>
        <v>319.403386689167</v>
      </c>
      <c r="F51" s="32" t="n">
        <f aca="false">E51*(1-$A51+Assumptions!$C$6)+'ARR Model'!F$14</f>
        <v>343.538309045082</v>
      </c>
      <c r="G51" s="32" t="n">
        <f aca="false">F51*(1-$A51+Assumptions!$C$6)+'ARR Model'!G$14</f>
        <v>368.854303176719</v>
      </c>
      <c r="H51" s="32" t="n">
        <f aca="false">G51*(1-$A51+Assumptions!$C$6)+'ARR Model'!H$14</f>
        <v>395.213784241365</v>
      </c>
      <c r="I51" s="32" t="n">
        <f aca="false">H51*(1-$A51+Assumptions!$C$6)+'ARR Model'!I$14</f>
        <v>422.456114620637</v>
      </c>
      <c r="J51" s="32" t="n">
        <f aca="false">I51*(1-$A51+Assumptions!$C$6)+'ARR Model'!J$14</f>
        <v>450.399175198215</v>
      </c>
      <c r="K51" s="32" t="n">
        <f aca="false">J51*(1-$A51+Assumptions!$C$6)+'ARR Model'!K$14</f>
        <v>478.841575901804</v>
      </c>
      <c r="L51" s="32" t="n">
        <f aca="false">K51*(1-$A51+Assumptions!$C$6)+'ARR Model'!L$14</f>
        <v>507.565476089893</v>
      </c>
      <c r="M51" s="32" t="n">
        <f aca="false">SUMPRODUCT((B51:K51+C51:L51)/2*Inputs!$B$36,'ARR Model'!$C$10:$L$10,DCF!$C$5:$L$5)+AVERAGE(K51,L51)*Inputs!$B$36*'ARR Model'!$L$10*(1+Assumptions!$C$14)/(Assumptions!$C$13-Assumptions!$C$14)*DCF!$L$5</f>
        <v>1183.51059696465</v>
      </c>
      <c r="N51" s="28" t="n">
        <f aca="false">(M51+Inputs!$B$9-Inputs!$B$10)/Inputs!$B$6*Inputs!$B$7</f>
        <v>64.4932641972006</v>
      </c>
    </row>
    <row r="52" customFormat="false" ht="15" hidden="false" customHeight="false" outlineLevel="0" collapsed="false">
      <c r="A52" s="18" t="n">
        <v>0.11</v>
      </c>
      <c r="B52" s="31" t="n">
        <f aca="false">'ARR Model'!$B$17</f>
        <v>255.1</v>
      </c>
      <c r="C52" s="32" t="n">
        <f aca="false">B52*(1-$A52+Assumptions!$C$6)+'ARR Model'!C$14</f>
        <v>273.8314</v>
      </c>
      <c r="D52" s="32" t="n">
        <f aca="false">C52*(1-$A52+Assumptions!$C$6)+'ARR Model'!D$14</f>
        <v>293.950372</v>
      </c>
      <c r="E52" s="32" t="n">
        <f aca="false">D52*(1-$A52+Assumptions!$C$6)+'ARR Model'!E$14</f>
        <v>315.386184566667</v>
      </c>
      <c r="F52" s="32" t="n">
        <f aca="false">E52*(1-$A52+Assumptions!$C$6)+'ARR Model'!F$14</f>
        <v>338.044606052811</v>
      </c>
      <c r="G52" s="32" t="n">
        <f aca="false">F52*(1-$A52+Assumptions!$C$6)+'ARR Model'!G$14</f>
        <v>361.80771972899</v>
      </c>
      <c r="H52" s="32" t="n">
        <f aca="false">G52*(1-$A52+Assumptions!$C$6)+'ARR Model'!H$14</f>
        <v>386.534326781185</v>
      </c>
      <c r="I52" s="32" t="n">
        <f aca="false">H52*(1-$A52+Assumptions!$C$6)+'ARR Model'!I$14</f>
        <v>412.060971963056</v>
      </c>
      <c r="J52" s="32" t="n">
        <f aca="false">I52*(1-$A52+Assumptions!$C$6)+'ARR Model'!J$14</f>
        <v>438.203606247258</v>
      </c>
      <c r="K52" s="32" t="n">
        <f aca="false">J52*(1-$A52+Assumptions!$C$6)+'ARR Model'!K$14</f>
        <v>464.759878143385</v>
      </c>
      <c r="L52" s="32" t="n">
        <f aca="false">K52*(1-$A52+Assumptions!$C$6)+'ARR Model'!L$14</f>
        <v>491.512021384717</v>
      </c>
      <c r="M52" s="32" t="n">
        <f aca="false">SUMPRODUCT((B52:K52+C52:L52)/2*Inputs!$B$36,'ARR Model'!$C$10:$L$10,DCF!$C$5:$L$5)+AVERAGE(K52,L52)*Inputs!$B$36*'ARR Model'!$L$10*(1+Assumptions!$C$14)/(Assumptions!$C$13-Assumptions!$C$14)*DCF!$L$5</f>
        <v>1154.0356831457</v>
      </c>
      <c r="N52" s="28" t="n">
        <f aca="false">(M52+Inputs!$B$9-Inputs!$B$10)/Inputs!$B$6*Inputs!$B$7</f>
        <v>62.8275476246671</v>
      </c>
    </row>
    <row r="53" customFormat="false" ht="15" hidden="false" customHeight="false" outlineLevel="0" collapsed="false">
      <c r="A53" s="18" t="n">
        <v>0.115</v>
      </c>
      <c r="B53" s="31" t="n">
        <f aca="false">'ARR Model'!$B$17</f>
        <v>255.1</v>
      </c>
      <c r="C53" s="32" t="n">
        <f aca="false">B53*(1-$A53+Assumptions!$C$6)+'ARR Model'!C$14</f>
        <v>272.5559</v>
      </c>
      <c r="D53" s="32" t="n">
        <f aca="false">C53*(1-$A53+Assumptions!$C$6)+'ARR Model'!D$14</f>
        <v>291.3503575</v>
      </c>
      <c r="E53" s="32" t="n">
        <f aca="false">D53*(1-$A53+Assumptions!$C$6)+'ARR Model'!E$14</f>
        <v>311.407418714167</v>
      </c>
      <c r="F53" s="32" t="n">
        <f aca="false">E53*(1-$A53+Assumptions!$C$6)+'ARR Model'!F$14</f>
        <v>332.628166082315</v>
      </c>
      <c r="G53" s="32" t="n">
        <f aca="false">F53*(1-$A53+Assumptions!$C$6)+'ARR Model'!G$14</f>
        <v>354.890632127198</v>
      </c>
      <c r="H53" s="32" t="n">
        <f aca="false">G53*(1-$A53+Assumptions!$C$6)+'ARR Model'!H$14</f>
        <v>378.05029864681</v>
      </c>
      <c r="I53" s="32" t="n">
        <f aca="false">H53*(1-$A53+Assumptions!$C$6)+'ARR Model'!I$14</f>
        <v>401.941213179479</v>
      </c>
      <c r="J53" s="32" t="n">
        <f aca="false">I53*(1-$A53+Assumptions!$C$6)+'ARR Model'!J$14</f>
        <v>426.37773416129</v>
      </c>
      <c r="K53" s="32" t="n">
        <f aca="false">J53*(1-$A53+Assumptions!$C$6)+'ARR Model'!K$14</f>
        <v>451.15689354919</v>
      </c>
      <c r="L53" s="32" t="n">
        <f aca="false">K53*(1-$A53+Assumptions!$C$6)+'ARR Model'!L$14</f>
        <v>476.061341860602</v>
      </c>
      <c r="M53" s="32" t="n">
        <f aca="false">SUMPRODUCT((B53:K53+C53:L53)/2*Inputs!$B$36,'ARR Model'!$C$10:$L$10,DCF!$C$5:$L$5)+AVERAGE(K53,L53)*Inputs!$B$36*'ARR Model'!$L$10*(1+Assumptions!$C$14)/(Assumptions!$C$13-Assumptions!$C$14)*DCF!$L$5</f>
        <v>1125.50215131162</v>
      </c>
      <c r="N53" s="28" t="n">
        <f aca="false">(M53+Inputs!$B$9-Inputs!$B$10)/Inputs!$B$6*Inputs!$B$7</f>
        <v>61.2150313967691</v>
      </c>
    </row>
    <row r="54" customFormat="false" ht="15" hidden="false" customHeight="false" outlineLevel="0" collapsed="false">
      <c r="A54" s="18" t="n">
        <v>0.12</v>
      </c>
      <c r="B54" s="31" t="n">
        <f aca="false">'ARR Model'!$B$17</f>
        <v>255.1</v>
      </c>
      <c r="C54" s="32" t="n">
        <f aca="false">B54*(1-$A54+Assumptions!$C$6)+'ARR Model'!C$14</f>
        <v>271.2804</v>
      </c>
      <c r="D54" s="32" t="n">
        <f aca="false">C54*(1-$A54+Assumptions!$C$6)+'ARR Model'!D$14</f>
        <v>288.763098</v>
      </c>
      <c r="E54" s="32" t="n">
        <f aca="false">D54*(1-$A54+Assumptions!$C$6)+'ARR Model'!E$14</f>
        <v>307.466897806667</v>
      </c>
      <c r="F54" s="32" t="n">
        <f aca="false">E54*(1-$A54+Assumptions!$C$6)+'ARR Model'!F$14</f>
        <v>327.288228917544</v>
      </c>
      <c r="G54" s="32" t="n">
        <f aca="false">F54*(1-$A54+Assumptions!$C$6)+'ARR Model'!G$14</f>
        <v>348.101151618606</v>
      </c>
      <c r="H54" s="32" t="n">
        <f aca="false">G54*(1-$A54+Assumptions!$C$6)+'ARR Model'!H$14</f>
        <v>369.757944197926</v>
      </c>
      <c r="I54" s="32" t="n">
        <f aca="false">H54*(1-$A54+Assumptions!$C$6)+'ARR Model'!I$14</f>
        <v>392.090301415316</v>
      </c>
      <c r="J54" s="32" t="n">
        <f aca="false">I54*(1-$A54+Assumptions!$C$6)+'ARR Model'!J$14</f>
        <v>414.911152801797</v>
      </c>
      <c r="K54" s="32" t="n">
        <f aca="false">J54*(1-$A54+Assumptions!$C$6)+'ARR Model'!K$14</f>
        <v>438.01708677327</v>
      </c>
      <c r="L54" s="32" t="n">
        <f aca="false">K54*(1-$A54+Assumptions!$C$6)+'ARR Model'!L$14</f>
        <v>461.191342887973</v>
      </c>
      <c r="M54" s="32" t="n">
        <f aca="false">SUMPRODUCT((B54:K54+C54:L54)/2*Inputs!$B$36,'ARR Model'!$C$10:$L$10,DCF!$C$5:$L$5)+AVERAGE(K54,L54)*Inputs!$B$36*'ARR Model'!$L$10*(1+Assumptions!$C$14)/(Assumptions!$C$13-Assumptions!$C$14)*DCF!$L$5</f>
        <v>1097.87935613975</v>
      </c>
      <c r="N54" s="28" t="n">
        <f aca="false">(M54+Inputs!$B$9-Inputs!$B$10)/Inputs!$B$6*Inputs!$B$7</f>
        <v>59.6539836535889</v>
      </c>
    </row>
    <row r="55" customFormat="false" ht="15" hidden="false" customHeight="false" outlineLevel="0" collapsed="false">
      <c r="A55" s="18" t="n">
        <v>0.125</v>
      </c>
      <c r="B55" s="31" t="n">
        <f aca="false">'ARR Model'!$B$17</f>
        <v>255.1</v>
      </c>
      <c r="C55" s="32" t="n">
        <f aca="false">B55*(1-$A55+Assumptions!$C$6)+'ARR Model'!C$14</f>
        <v>270.0049</v>
      </c>
      <c r="D55" s="32" t="n">
        <f aca="false">C55*(1-$A55+Assumptions!$C$6)+'ARR Model'!D$14</f>
        <v>286.1885935</v>
      </c>
      <c r="E55" s="32" t="n">
        <f aca="false">D55*(1-$A55+Assumptions!$C$6)+'ARR Model'!E$14</f>
        <v>303.564430519167</v>
      </c>
      <c r="F55" s="32" t="n">
        <f aca="false">E55*(1-$A55+Assumptions!$C$6)+'ARR Model'!F$14</f>
        <v>322.024038168949</v>
      </c>
      <c r="G55" s="32" t="n">
        <f aca="false">F55*(1-$A55+Assumptions!$C$6)+'ARR Model'!G$14</f>
        <v>341.437408309109</v>
      </c>
      <c r="H55" s="32" t="n">
        <f aca="false">G55*(1-$A55+Assumptions!$C$6)+'ARR Model'!H$14</f>
        <v>361.653563579264</v>
      </c>
      <c r="I55" s="32" t="n">
        <f aca="false">H55*(1-$A55+Assumptions!$C$6)+'ARR Model'!I$14</f>
        <v>382.501828203504</v>
      </c>
      <c r="J55" s="32" t="n">
        <f aca="false">I55*(1-$A55+Assumptions!$C$6)+'ARR Model'!J$14</f>
        <v>403.793709377439</v>
      </c>
      <c r="K55" s="32" t="n">
        <f aca="false">J55*(1-$A55+Assumptions!$C$6)+'ARR Model'!K$14</f>
        <v>425.325372539</v>
      </c>
      <c r="L55" s="32" t="n">
        <f aca="false">K55*(1-$A55+Assumptions!$C$6)+'ARR Model'!L$14</f>
        <v>446.880670360378</v>
      </c>
      <c r="M55" s="32" t="n">
        <f aca="false">SUMPRODUCT((B55:K55+C55:L55)/2*Inputs!$B$36,'ARR Model'!$C$10:$L$10,DCF!$C$5:$L$5)+AVERAGE(K55,L55)*Inputs!$B$36*'ARR Model'!$L$10*(1+Assumptions!$C$14)/(Assumptions!$C$13-Assumptions!$C$14)*DCF!$L$5</f>
        <v>1071.13758241431</v>
      </c>
      <c r="N55" s="28" t="n">
        <f aca="false">(M55+Inputs!$B$9-Inputs!$B$10)/Inputs!$B$6*Inputs!$B$7</f>
        <v>58.1427250983641</v>
      </c>
    </row>
    <row r="56" customFormat="false" ht="15" hidden="false" customHeight="false" outlineLevel="0" collapsed="false">
      <c r="A56" s="18" t="n">
        <v>0.13</v>
      </c>
      <c r="B56" s="31" t="n">
        <f aca="false">'ARR Model'!$B$17</f>
        <v>255.1</v>
      </c>
      <c r="C56" s="32" t="n">
        <f aca="false">B56*(1-$A56+Assumptions!$C$6)+'ARR Model'!C$14</f>
        <v>268.7294</v>
      </c>
      <c r="D56" s="32" t="n">
        <f aca="false">C56*(1-$A56+Assumptions!$C$6)+'ARR Model'!D$14</f>
        <v>283.626844</v>
      </c>
      <c r="E56" s="32" t="n">
        <f aca="false">D56*(1-$A56+Assumptions!$C$6)+'ARR Model'!E$14</f>
        <v>299.699825526667</v>
      </c>
      <c r="F56" s="32" t="n">
        <f aca="false">E56*(1-$A56+Assumptions!$C$6)+'ARR Model'!F$14</f>
        <v>316.834841273478</v>
      </c>
      <c r="G56" s="32" t="n">
        <f aca="false">F56*(1-$A56+Assumptions!$C$6)+'ARR Model'!G$14</f>
        <v>334.897551067567</v>
      </c>
      <c r="H56" s="32" t="n">
        <f aca="false">G56*(1-$A56+Assumptions!$C$6)+'ARR Model'!H$14</f>
        <v>353.733512158253</v>
      </c>
      <c r="I56" s="32" t="n">
        <f aca="false">H56*(1-$A56+Assumptions!$C$6)+'ARR Model'!I$14</f>
        <v>373.169511535647</v>
      </c>
      <c r="J56" s="32" t="n">
        <f aca="false">I56*(1-$A56+Assumptions!$C$6)+'ARR Model'!J$14</f>
        <v>393.015499401958</v>
      </c>
      <c r="K56" s="32" t="n">
        <f aca="false">J56*(1-$A56+Assumptions!$C$6)+'ARR Model'!K$14</f>
        <v>413.067104515406</v>
      </c>
      <c r="L56" s="32" t="n">
        <f aca="false">K56*(1-$A56+Assumptions!$C$6)+'ARR Model'!L$14</f>
        <v>433.108688875269</v>
      </c>
      <c r="M56" s="32" t="n">
        <f aca="false">SUMPRODUCT((B56:K56+C56:L56)/2*Inputs!$B$36,'ARR Model'!$C$10:$L$10,DCF!$C$5:$L$5)+AVERAGE(K56,L56)*Inputs!$B$36*'ARR Model'!$L$10*(1+Assumptions!$C$14)/(Assumptions!$C$13-Assumptions!$C$14)*DCF!$L$5</f>
        <v>1045.24801999918</v>
      </c>
      <c r="N56" s="28" t="n">
        <f aca="false">(M56+Inputs!$B$9-Inputs!$B$10)/Inputs!$B$6*Inputs!$B$7</f>
        <v>56.6796275831202</v>
      </c>
    </row>
    <row r="57" customFormat="false" ht="15" hidden="false" customHeight="false" outlineLevel="0" collapsed="false">
      <c r="A57" s="18" t="n">
        <v>0.135</v>
      </c>
      <c r="B57" s="31" t="n">
        <f aca="false">'ARR Model'!$B$17</f>
        <v>255.1</v>
      </c>
      <c r="C57" s="32" t="n">
        <f aca="false">B57*(1-$A57+Assumptions!$C$6)+'ARR Model'!C$14</f>
        <v>267.4539</v>
      </c>
      <c r="D57" s="32" t="n">
        <f aca="false">C57*(1-$A57+Assumptions!$C$6)+'ARR Model'!D$14</f>
        <v>281.0778495</v>
      </c>
      <c r="E57" s="32" t="n">
        <f aca="false">D57*(1-$A57+Assumptions!$C$6)+'ARR Model'!E$14</f>
        <v>295.872891504167</v>
      </c>
      <c r="F57" s="32" t="n">
        <f aca="false">E57*(1-$A57+Assumptions!$C$6)+'ARR Model'!F$14</f>
        <v>311.719889494582</v>
      </c>
      <c r="G57" s="32" t="n">
        <f aca="false">F57*(1-$A57+Assumptions!$C$6)+'ARR Model'!G$14</f>
        <v>328.479747430143</v>
      </c>
      <c r="H57" s="32" t="n">
        <f aca="false">G57*(1-$A57+Assumptions!$C$6)+'ARR Model'!H$14</f>
        <v>345.99419996555</v>
      </c>
      <c r="I57" s="32" t="n">
        <f aca="false">H57*(1-$A57+Assumptions!$C$6)+'ARR Model'!I$14</f>
        <v>364.087193952751</v>
      </c>
      <c r="J57" s="32" t="n">
        <f aca="false">I57*(1-$A57+Assumptions!$C$6)+'ARR Model'!J$14</f>
        <v>382.566861728443</v>
      </c>
      <c r="K57" s="32" t="n">
        <f aca="false">J57*(1-$A57+Assumptions!$C$6)+'ARR Model'!K$14</f>
        <v>401.228064416924</v>
      </c>
      <c r="L57" s="32" t="n">
        <f aca="false">K57*(1-$A57+Assumptions!$C$6)+'ARR Model'!L$14</f>
        <v>419.855460459627</v>
      </c>
      <c r="M57" s="32" t="n">
        <f aca="false">SUMPRODUCT((B57:K57+C57:L57)/2*Inputs!$B$36,'ARR Model'!$C$10:$L$10,DCF!$C$5:$L$5)+AVERAGE(K57,L57)*Inputs!$B$36*'ARR Model'!$L$10*(1+Assumptions!$C$14)/(Assumptions!$C$13-Assumptions!$C$14)*DCF!$L$5</f>
        <v>1020.18273938278</v>
      </c>
      <c r="N57" s="28" t="n">
        <f aca="false">(M57+Inputs!$B$9-Inputs!$B$10)/Inputs!$B$6*Inputs!$B$7</f>
        <v>55.2631127266419</v>
      </c>
    </row>
    <row r="58" customFormat="false" ht="15" hidden="false" customHeight="false" outlineLevel="0" collapsed="false">
      <c r="A58" s="18" t="n">
        <v>0.14</v>
      </c>
      <c r="B58" s="31" t="n">
        <f aca="false">'ARR Model'!$B$17</f>
        <v>255.1</v>
      </c>
      <c r="C58" s="32" t="n">
        <f aca="false">B58*(1-$A58+Assumptions!$C$6)+'ARR Model'!C$14</f>
        <v>266.1784</v>
      </c>
      <c r="D58" s="32" t="n">
        <f aca="false">C58*(1-$A58+Assumptions!$C$6)+'ARR Model'!D$14</f>
        <v>278.54161</v>
      </c>
      <c r="E58" s="32" t="n">
        <f aca="false">D58*(1-$A58+Assumptions!$C$6)+'ARR Model'!E$14</f>
        <v>292.083437126667</v>
      </c>
      <c r="F58" s="32" t="n">
        <f aca="false">E58*(1-$A58+Assumptions!$C$6)+'ARR Model'!F$14</f>
        <v>306.678437922211</v>
      </c>
      <c r="G58" s="32" t="n">
        <f aca="false">F58*(1-$A58+Assumptions!$C$6)+'ARR Model'!G$14</f>
        <v>322.182183504642</v>
      </c>
      <c r="H58" s="32" t="n">
        <f aca="false">G58*(1-$A58+Assumptions!$C$6)+'ARR Model'!H$14</f>
        <v>338.432091138428</v>
      </c>
      <c r="I58" s="32" t="n">
        <f aca="false">H58*(1-$A58+Assumptions!$C$6)+'ARR Model'!I$14</f>
        <v>355.248840655429</v>
      </c>
      <c r="J58" s="32" t="n">
        <f aca="false">I58*(1-$A58+Assumptions!$C$6)+'ARR Model'!J$14</f>
        <v>372.438373659196</v>
      </c>
      <c r="K58" s="32" t="n">
        <f aca="false">J58*(1-$A58+Assumptions!$C$6)+'ARR Model'!K$14</f>
        <v>389.79445132319</v>
      </c>
      <c r="L58" s="32" t="n">
        <f aca="false">K58*(1-$A58+Assumptions!$C$6)+'ARR Model'!L$14</f>
        <v>407.101723829432</v>
      </c>
      <c r="M58" s="32" t="n">
        <f aca="false">SUMPRODUCT((B58:K58+C58:L58)/2*Inputs!$B$36,'ARR Model'!$C$10:$L$10,DCF!$C$5:$L$5)+AVERAGE(K58,L58)*Inputs!$B$36*'ARR Model'!$L$10*(1+Assumptions!$C$14)/(Assumptions!$C$13-Assumptions!$C$14)*DCF!$L$5</f>
        <v>995.914667784706</v>
      </c>
      <c r="N58" s="28" t="n">
        <f aca="false">(M58+Inputs!$B$9-Inputs!$B$10)/Inputs!$B$6*Inputs!$B$7</f>
        <v>53.8916505641858</v>
      </c>
    </row>
    <row r="59" customFormat="false" ht="15" hidden="false" customHeight="false" outlineLevel="0" collapsed="false">
      <c r="A59" s="18" t="n">
        <v>0.145</v>
      </c>
      <c r="B59" s="31" t="n">
        <f aca="false">'ARR Model'!$B$17</f>
        <v>255.1</v>
      </c>
      <c r="C59" s="32" t="n">
        <f aca="false">B59*(1-$A59+Assumptions!$C$6)+'ARR Model'!C$14</f>
        <v>264.9029</v>
      </c>
      <c r="D59" s="32" t="n">
        <f aca="false">C59*(1-$A59+Assumptions!$C$6)+'ARR Model'!D$14</f>
        <v>276.0181255</v>
      </c>
      <c r="E59" s="32" t="n">
        <f aca="false">D59*(1-$A59+Assumptions!$C$6)+'ARR Model'!E$14</f>
        <v>288.331271069167</v>
      </c>
      <c r="F59" s="32" t="n">
        <f aca="false">E59*(1-$A59+Assumptions!$C$6)+'ARR Model'!F$14</f>
        <v>301.709745472815</v>
      </c>
      <c r="G59" s="32" t="n">
        <f aca="false">F59*(1-$A59+Assumptions!$C$6)+'ARR Model'!G$14</f>
        <v>316.003063874846</v>
      </c>
      <c r="H59" s="32" t="n">
        <f aca="false">G59*(1-$A59+Assumptions!$C$6)+'ARR Model'!H$14</f>
        <v>331.043703367045</v>
      </c>
      <c r="I59" s="32" t="n">
        <f aca="false">H59*(1-$A59+Assumptions!$C$6)+'ARR Model'!I$14</f>
        <v>346.648537633494</v>
      </c>
      <c r="J59" s="32" t="n">
        <f aca="false">I59*(1-$A59+Assumptions!$C$6)+'ARR Model'!J$14</f>
        <v>362.62084613041</v>
      </c>
      <c r="K59" s="32" t="n">
        <f aca="false">J59*(1-$A59+Assumptions!$C$6)+'ARR Model'!K$14</f>
        <v>378.752871215479</v>
      </c>
      <c r="L59" s="32" t="n">
        <f aca="false">K59*(1-$A59+Assumptions!$C$6)+'ARR Model'!L$14</f>
        <v>394.828874172106</v>
      </c>
      <c r="M59" s="32" t="n">
        <f aca="false">SUMPRODUCT((B59:K59+C59:L59)/2*Inputs!$B$36,'ARR Model'!$C$10:$L$10,DCF!$C$5:$L$5)+AVERAGE(K59,L59)*Inputs!$B$36*'ARR Model'!$L$10*(1+Assumptions!$C$14)/(Assumptions!$C$13-Assumptions!$C$14)*DCF!$L$5</f>
        <v>972.417565813579</v>
      </c>
      <c r="N59" s="28" t="n">
        <f aca="false">(M59+Inputs!$B$9-Inputs!$B$10)/Inputs!$B$6*Inputs!$B$7</f>
        <v>52.5637582283426</v>
      </c>
    </row>
    <row r="60" customFormat="false" ht="15" hidden="false" customHeight="false" outlineLevel="0" collapsed="false">
      <c r="A60" s="18" t="n">
        <v>0.15</v>
      </c>
      <c r="B60" s="31" t="n">
        <f aca="false">'ARR Model'!$B$17</f>
        <v>255.1</v>
      </c>
      <c r="C60" s="32" t="n">
        <f aca="false">B60*(1-$A60+Assumptions!$C$6)+'ARR Model'!C$14</f>
        <v>263.6274</v>
      </c>
      <c r="D60" s="32" t="n">
        <f aca="false">C60*(1-$A60+Assumptions!$C$6)+'ARR Model'!D$14</f>
        <v>273.507396</v>
      </c>
      <c r="E60" s="32" t="n">
        <f aca="false">D60*(1-$A60+Assumptions!$C$6)+'ARR Model'!E$14</f>
        <v>284.616202006667</v>
      </c>
      <c r="F60" s="32" t="n">
        <f aca="false">E60*(1-$A60+Assumptions!$C$6)+'ARR Model'!F$14</f>
        <v>296.813074889344</v>
      </c>
      <c r="G60" s="32" t="n">
        <f aca="false">F60*(1-$A60+Assumptions!$C$6)+'ARR Model'!G$14</f>
        <v>309.940611504854</v>
      </c>
      <c r="H60" s="32" t="n">
        <f aca="false">G60*(1-$A60+Assumptions!$C$6)+'ARR Model'!H$14</f>
        <v>323.825607343578</v>
      </c>
      <c r="I60" s="32" t="n">
        <f aca="false">H60*(1-$A60+Assumptions!$C$6)+'ARR Model'!I$14</f>
        <v>338.280489814835</v>
      </c>
      <c r="J60" s="32" t="n">
        <f aca="false">I60*(1-$A60+Assumptions!$C$6)+'ARR Model'!J$14</f>
        <v>353.105318970889</v>
      </c>
      <c r="K60" s="32" t="n">
        <f aca="false">J60*(1-$A60+Assumptions!$C$6)+'ARR Model'!K$14</f>
        <v>368.090326726472</v>
      </c>
      <c r="L60" s="32" t="n">
        <f aca="false">K60*(1-$A60+Assumptions!$C$6)+'ARR Model'!L$14</f>
        <v>383.018943441253</v>
      </c>
      <c r="M60" s="32" t="n">
        <f aca="false">SUMPRODUCT((B60:K60+C60:L60)/2*Inputs!$B$36,'ARR Model'!$C$10:$L$10,DCF!$C$5:$L$5)+AVERAGE(K60,L60)*Inputs!$B$36*'ARR Model'!$L$10*(1+Assumptions!$C$14)/(Assumptions!$C$13-Assumptions!$C$14)*DCF!$L$5</f>
        <v>949.666004665747</v>
      </c>
      <c r="N60" s="28" t="n">
        <f aca="false">(M60+Inputs!$B$9-Inputs!$B$10)/Inputs!$B$6*Inputs!$B$7</f>
        <v>51.2779986604691</v>
      </c>
    </row>
    <row r="61" customFormat="false" ht="15" hidden="false" customHeight="false" outlineLevel="0" collapsed="false">
      <c r="A61" s="18" t="n">
        <v>0.155</v>
      </c>
      <c r="B61" s="31" t="n">
        <f aca="false">'ARR Model'!$B$17</f>
        <v>255.1</v>
      </c>
      <c r="C61" s="32" t="n">
        <f aca="false">B61*(1-$A61+Assumptions!$C$6)+'ARR Model'!C$14</f>
        <v>262.3519</v>
      </c>
      <c r="D61" s="32" t="n">
        <f aca="false">C61*(1-$A61+Assumptions!$C$6)+'ARR Model'!D$14</f>
        <v>271.0094215</v>
      </c>
      <c r="E61" s="32" t="n">
        <f aca="false">D61*(1-$A61+Assumptions!$C$6)+'ARR Model'!E$14</f>
        <v>280.938038614167</v>
      </c>
      <c r="F61" s="32" t="n">
        <f aca="false">E61*(1-$A61+Assumptions!$C$6)+'ARR Model'!F$14</f>
        <v>291.987692741249</v>
      </c>
      <c r="G61" s="32" t="n">
        <f aca="false">F61*(1-$A61+Assumptions!$C$6)+'ARR Model'!G$14</f>
        <v>303.993067643419</v>
      </c>
      <c r="H61" s="32" t="n">
        <f aca="false">G61*(1-$A61+Assumptions!$C$6)+'ARR Model'!H$14</f>
        <v>316.774426214226</v>
      </c>
      <c r="I61" s="32" t="n">
        <f aca="false">H61*(1-$A61+Assumptions!$C$6)+'ARR Model'!I$14</f>
        <v>330.139019233466</v>
      </c>
      <c r="J61" s="32" t="n">
        <f aca="false">I61*(1-$A61+Assumptions!$C$6)+'ARR Model'!J$14</f>
        <v>343.88305623405</v>
      </c>
      <c r="K61" s="32" t="n">
        <f aca="false">J61*(1-$A61+Assumptions!$C$6)+'ARR Model'!K$14</f>
        <v>357.794207100041</v>
      </c>
      <c r="L61" s="32" t="n">
        <f aca="false">K61*(1-$A61+Assumptions!$C$6)+'ARR Model'!L$14</f>
        <v>371.654581153172</v>
      </c>
      <c r="M61" s="32" t="n">
        <f aca="false">SUMPRODUCT((B61:K61+C61:L61)/2*Inputs!$B$36,'ARR Model'!$C$10:$L$10,DCF!$C$5:$L$5)+AVERAGE(K61,L61)*Inputs!$B$36*'ARR Model'!$L$10*(1+Assumptions!$C$14)/(Assumptions!$C$13-Assumptions!$C$14)*DCF!$L$5</f>
        <v>927.6353438548</v>
      </c>
      <c r="N61" s="28" t="n">
        <f aca="false">(M61+Inputs!$B$9-Inputs!$B$10)/Inputs!$B$6*Inputs!$B$7</f>
        <v>50.0329793521149</v>
      </c>
    </row>
    <row r="62" customFormat="false" ht="15" hidden="false" customHeight="false" outlineLevel="0" collapsed="false">
      <c r="A62" s="18" t="n">
        <v>0.16</v>
      </c>
      <c r="B62" s="31" t="n">
        <f aca="false">'ARR Model'!$B$17</f>
        <v>255.1</v>
      </c>
      <c r="C62" s="32" t="n">
        <f aca="false">B62*(1-$A62+Assumptions!$C$6)+'ARR Model'!C$14</f>
        <v>261.0764</v>
      </c>
      <c r="D62" s="32" t="n">
        <f aca="false">C62*(1-$A62+Assumptions!$C$6)+'ARR Model'!D$14</f>
        <v>268.524202</v>
      </c>
      <c r="E62" s="32" t="n">
        <f aca="false">D62*(1-$A62+Assumptions!$C$6)+'ARR Model'!E$14</f>
        <v>277.296589566667</v>
      </c>
      <c r="F62" s="32" t="n">
        <f aca="false">E62*(1-$A62+Assumptions!$C$6)+'ARR Model'!F$14</f>
        <v>287.232869424478</v>
      </c>
      <c r="G62" s="32" t="n">
        <f aca="false">F62*(1-$A62+Assumptions!$C$6)+'ARR Model'!G$14</f>
        <v>298.158691728283</v>
      </c>
      <c r="H62" s="32" t="n">
        <f aca="false">G62*(1-$A62+Assumptions!$C$6)+'ARR Model'!H$14</f>
        <v>309.886835034085</v>
      </c>
      <c r="I62" s="32" t="n">
        <f aca="false">H62*(1-$A62+Assumptions!$C$6)+'ARR Model'!I$14</f>
        <v>322.218563216665</v>
      </c>
      <c r="J62" s="32" t="n">
        <f aca="false">I62*(1-$A62+Assumptions!$C$6)+'ARR Model'!J$14</f>
        <v>334.945541602425</v>
      </c>
      <c r="K62" s="32" t="n">
        <f aca="false">J62*(1-$A62+Assumptions!$C$6)+'ARR Model'!K$14</f>
        <v>347.852278357776</v>
      </c>
      <c r="L62" s="32" t="n">
        <f aca="false">K62*(1-$A62+Assumptions!$C$6)+'ARR Model'!L$14</f>
        <v>360.719035674788</v>
      </c>
      <c r="M62" s="32" t="n">
        <f aca="false">SUMPRODUCT((B62:K62+C62:L62)/2*Inputs!$B$36,'ARR Model'!$C$10:$L$10,DCF!$C$5:$L$5)+AVERAGE(K62,L62)*Inputs!$B$36*'ARR Model'!$L$10*(1+Assumptions!$C$14)/(Assumptions!$C$13-Assumptions!$C$14)*DCF!$L$5</f>
        <v>906.301709461832</v>
      </c>
      <c r="N62" s="28" t="n">
        <f aca="false">(M62+Inputs!$B$9-Inputs!$B$10)/Inputs!$B$6*Inputs!$B$7</f>
        <v>48.8273511158791</v>
      </c>
    </row>
    <row r="63" customFormat="false" ht="15" hidden="false" customHeight="false" outlineLevel="0" collapsed="false">
      <c r="A63" s="18" t="n">
        <v>0.165</v>
      </c>
      <c r="B63" s="31" t="n">
        <f aca="false">'ARR Model'!$B$17</f>
        <v>255.1</v>
      </c>
      <c r="C63" s="32" t="n">
        <f aca="false">B63*(1-$A63+Assumptions!$C$6)+'ARR Model'!C$14</f>
        <v>259.8009</v>
      </c>
      <c r="D63" s="32" t="n">
        <f aca="false">C63*(1-$A63+Assumptions!$C$6)+'ARR Model'!D$14</f>
        <v>266.0517375</v>
      </c>
      <c r="E63" s="32" t="n">
        <f aca="false">D63*(1-$A63+Assumptions!$C$6)+'ARR Model'!E$14</f>
        <v>273.691663539167</v>
      </c>
      <c r="F63" s="32" t="n">
        <f aca="false">E63*(1-$A63+Assumptions!$C$6)+'ARR Model'!F$14</f>
        <v>282.547879161482</v>
      </c>
      <c r="G63" s="32" t="n">
        <f aca="false">F63*(1-$A63+Assumptions!$C$6)+'ARR Model'!G$14</f>
        <v>292.43576129052</v>
      </c>
      <c r="H63" s="32" t="n">
        <f aca="false">G63*(1-$A63+Assumptions!$C$6)+'ARR Model'!H$14</f>
        <v>303.159560224889</v>
      </c>
      <c r="I63" s="32" t="n">
        <f aca="false">H63*(1-$A63+Assumptions!$C$6)+'ARR Model'!I$14</f>
        <v>314.513672591081</v>
      </c>
      <c r="J63" s="32" t="n">
        <f aca="false">I63*(1-$A63+Assumptions!$C$6)+'ARR Model'!J$14</f>
        <v>326.284473863932</v>
      </c>
      <c r="K63" s="32" t="n">
        <f aca="false">J63*(1-$A63+Assumptions!$C$6)+'ARR Model'!K$14</f>
        <v>338.252673669043</v>
      </c>
      <c r="L63" s="32" t="n">
        <f aca="false">K63*(1-$A63+Assumptions!$C$6)+'ARR Model'!L$14</f>
        <v>350.196135992808</v>
      </c>
      <c r="M63" s="32" t="n">
        <f aca="false">SUMPRODUCT((B63:K63+C63:L63)/2*Inputs!$B$36,'ARR Model'!$C$10:$L$10,DCF!$C$5:$L$5)+AVERAGE(K63,L63)*Inputs!$B$36*'ARR Model'!$L$10*(1+Assumptions!$C$14)/(Assumptions!$C$13-Assumptions!$C$14)*DCF!$L$5</f>
        <v>885.641972896598</v>
      </c>
      <c r="N63" s="28" t="n">
        <f aca="false">(M63+Inputs!$B$9-Inputs!$B$10)/Inputs!$B$6*Inputs!$B$7</f>
        <v>47.6598068851384</v>
      </c>
    </row>
    <row r="64" customFormat="false" ht="15" hidden="false" customHeight="false" outlineLevel="0" collapsed="false">
      <c r="A64" s="18" t="n">
        <v>0.17</v>
      </c>
      <c r="B64" s="31" t="n">
        <f aca="false">'ARR Model'!$B$17</f>
        <v>255.1</v>
      </c>
      <c r="C64" s="32" t="n">
        <f aca="false">B64*(1-$A64+Assumptions!$C$6)+'ARR Model'!C$14</f>
        <v>258.5254</v>
      </c>
      <c r="D64" s="32" t="n">
        <f aca="false">C64*(1-$A64+Assumptions!$C$6)+'ARR Model'!D$14</f>
        <v>263.592028</v>
      </c>
      <c r="E64" s="32" t="n">
        <f aca="false">D64*(1-$A64+Assumptions!$C$6)+'ARR Model'!E$14</f>
        <v>270.123069206667</v>
      </c>
      <c r="F64" s="32" t="n">
        <f aca="false">E64*(1-$A64+Assumptions!$C$6)+'ARR Model'!F$14</f>
        <v>277.932000001211</v>
      </c>
      <c r="G64" s="32" t="n">
        <f aca="false">F64*(1-$A64+Assumptions!$C$6)+'ARR Model'!G$14</f>
        <v>286.822571858866</v>
      </c>
      <c r="H64" s="32" t="n">
        <f aca="false">G64*(1-$A64+Assumptions!$C$6)+'ARR Model'!H$14</f>
        <v>296.589379035632</v>
      </c>
      <c r="I64" s="32" t="n">
        <f aca="false">H64*(1-$A64+Assumptions!$C$6)+'ARR Model'!I$14</f>
        <v>307.019009907732</v>
      </c>
      <c r="J64" s="32" t="n">
        <f aca="false">I64*(1-$A64+Assumptions!$C$6)+'ARR Model'!J$14</f>
        <v>317.891762459129</v>
      </c>
      <c r="K64" s="32" t="n">
        <f aca="false">J64*(1-$A64+Assumptions!$C$6)+'ARR Model'!K$14</f>
        <v>328.983883921353</v>
      </c>
      <c r="L64" s="32" t="n">
        <f aca="false">K64*(1-$A64+Assumptions!$C$6)+'ARR Model'!L$14</f>
        <v>340.070273954065</v>
      </c>
      <c r="M64" s="32" t="n">
        <f aca="false">SUMPRODUCT((B64:K64+C64:L64)/2*Inputs!$B$36,'ARR Model'!$C$10:$L$10,DCF!$C$5:$L$5)+AVERAGE(K64,L64)*Inputs!$B$36*'ARR Model'!$L$10*(1+Assumptions!$C$14)/(Assumptions!$C$13-Assumptions!$C$14)*DCF!$L$5</f>
        <v>865.633730159841</v>
      </c>
      <c r="N64" s="28" t="n">
        <f aca="false">(M64+Inputs!$B$9-Inputs!$B$10)/Inputs!$B$6*Inputs!$B$7</f>
        <v>46.5290805420992</v>
      </c>
    </row>
    <row r="65" customFormat="false" ht="15" hidden="false" customHeight="false" outlineLevel="0" collapsed="false">
      <c r="A65" s="18" t="n">
        <v>0.175</v>
      </c>
      <c r="B65" s="31" t="n">
        <f aca="false">'ARR Model'!$B$17</f>
        <v>255.1</v>
      </c>
      <c r="C65" s="32" t="n">
        <f aca="false">B65*(1-$A65+Assumptions!$C$6)+'ARR Model'!C$14</f>
        <v>257.2499</v>
      </c>
      <c r="D65" s="32" t="n">
        <f aca="false">C65*(1-$A65+Assumptions!$C$6)+'ARR Model'!D$14</f>
        <v>261.1450735</v>
      </c>
      <c r="E65" s="32" t="n">
        <f aca="false">D65*(1-$A65+Assumptions!$C$6)+'ARR Model'!E$14</f>
        <v>266.590615244167</v>
      </c>
      <c r="F65" s="32" t="n">
        <f aca="false">E65*(1-$A65+Assumptions!$C$6)+'ARR Model'!F$14</f>
        <v>273.384513819115</v>
      </c>
      <c r="G65" s="32" t="n">
        <f aca="false">F65*(1-$A65+Assumptions!$C$6)+'ARR Model'!G$14</f>
        <v>281.317436864063</v>
      </c>
      <c r="H65" s="32" t="n">
        <f aca="false">G65*(1-$A65+Assumptions!$C$6)+'ARR Model'!H$14</f>
        <v>290.173119006041</v>
      </c>
      <c r="I65" s="32" t="n">
        <f aca="false">H65*(1-$A65+Assumptions!$C$6)+'ARR Model'!I$14</f>
        <v>299.729347685774</v>
      </c>
      <c r="J65" s="32" t="n">
        <f aca="false">I65*(1-$A65+Assumptions!$C$6)+'ARR Model'!J$14</f>
        <v>309.759523098719</v>
      </c>
      <c r="K65" s="32" t="n">
        <f aca="false">J65*(1-$A65+Assumptions!$C$6)+'ARR Model'!K$14</f>
        <v>320.034748487886</v>
      </c>
      <c r="L65" s="32" t="n">
        <f aca="false">K65*(1-$A65+Assumptions!$C$6)+'ARR Model'!L$14</f>
        <v>330.32638696717</v>
      </c>
      <c r="M65" s="32" t="n">
        <f aca="false">SUMPRODUCT((B65:K65+C65:L65)/2*Inputs!$B$36,'ARR Model'!$C$10:$L$10,DCF!$C$5:$L$5)+AVERAGE(K65,L65)*Inputs!$B$36*'ARR Model'!$L$10*(1+Assumptions!$C$14)/(Assumptions!$C$13-Assumptions!$C$14)*DCF!$L$5</f>
        <v>846.255281597213</v>
      </c>
      <c r="N65" s="28" t="n">
        <f aca="false">(M65+Inputs!$B$9-Inputs!$B$10)/Inputs!$B$6*Inputs!$B$7</f>
        <v>45.4339457736301</v>
      </c>
    </row>
    <row r="66" customFormat="false" ht="15" hidden="false" customHeight="false" outlineLevel="0" collapsed="false">
      <c r="A66" s="18" t="n">
        <v>0.18</v>
      </c>
      <c r="B66" s="31" t="n">
        <f aca="false">'ARR Model'!$B$17</f>
        <v>255.1</v>
      </c>
      <c r="C66" s="32" t="n">
        <f aca="false">B66*(1-$A66+Assumptions!$C$6)+'ARR Model'!C$14</f>
        <v>255.9744</v>
      </c>
      <c r="D66" s="32" t="n">
        <f aca="false">C66*(1-$A66+Assumptions!$C$6)+'ARR Model'!D$14</f>
        <v>258.710874</v>
      </c>
      <c r="E66" s="32" t="n">
        <f aca="false">D66*(1-$A66+Assumptions!$C$6)+'ARR Model'!E$14</f>
        <v>263.094110326667</v>
      </c>
      <c r="F66" s="32" t="n">
        <f aca="false">E66*(1-$A66+Assumptions!$C$6)+'ARR Model'!F$14</f>
        <v>268.904706317145</v>
      </c>
      <c r="G66" s="32" t="n">
        <f aca="false">F66*(1-$A66+Assumptions!$C$6)+'ARR Model'!G$14</f>
        <v>275.918687543194</v>
      </c>
      <c r="H66" s="32" t="n">
        <f aca="false">G66*(1-$A66+Assumptions!$C$6)+'ARR Model'!H$14</f>
        <v>283.907657432938</v>
      </c>
      <c r="I66" s="32" t="n">
        <f aca="false">H66*(1-$A66+Assumptions!$C$6)+'ARR Model'!I$14</f>
        <v>292.639566674951</v>
      </c>
      <c r="J66" s="32" t="n">
        <f aca="false">I66*(1-$A66+Assumptions!$C$6)+'ARR Model'!J$14</f>
        <v>301.88007345055</v>
      </c>
      <c r="K66" s="32" t="n">
        <f aca="false">J66*(1-$A66+Assumptions!$C$6)+'ARR Model'!K$14</f>
        <v>311.39444618904</v>
      </c>
      <c r="L66" s="32" t="n">
        <f aca="false">K66*(1-$A66+Assumptions!$C$6)+'ARR Model'!L$14</f>
        <v>320.94994115577</v>
      </c>
      <c r="M66" s="32" t="n">
        <f aca="false">SUMPRODUCT((B66:K66+C66:L66)/2*Inputs!$B$36,'ARR Model'!$C$10:$L$10,DCF!$C$5:$L$5)+AVERAGE(K66,L66)*Inputs!$B$36*'ARR Model'!$L$10*(1+Assumptions!$C$14)/(Assumptions!$C$13-Assumptions!$C$14)*DCF!$L$5</f>
        <v>827.485612135338</v>
      </c>
      <c r="N66" s="28" t="n">
        <f aca="false">(M66+Inputs!$B$9-Inputs!$B$10)/Inputs!$B$6*Inputs!$B$7</f>
        <v>44.3732149543417</v>
      </c>
    </row>
    <row r="67" customFormat="false" ht="15" hidden="false" customHeight="false" outlineLevel="0" collapsed="false">
      <c r="A67" s="18" t="n">
        <v>0.185</v>
      </c>
      <c r="B67" s="31" t="n">
        <f aca="false">'ARR Model'!$B$17</f>
        <v>255.1</v>
      </c>
      <c r="C67" s="32" t="n">
        <f aca="false">B67*(1-$A67+Assumptions!$C$6)+'ARR Model'!C$14</f>
        <v>254.6989</v>
      </c>
      <c r="D67" s="32" t="n">
        <f aca="false">C67*(1-$A67+Assumptions!$C$6)+'ARR Model'!D$14</f>
        <v>256.2894295</v>
      </c>
      <c r="E67" s="32" t="n">
        <f aca="false">D67*(1-$A67+Assumptions!$C$6)+'ARR Model'!E$14</f>
        <v>259.633363129167</v>
      </c>
      <c r="F67" s="32" t="n">
        <f aca="false">E67*(1-$A67+Assumptions!$C$6)+'ARR Model'!F$14</f>
        <v>264.491867023749</v>
      </c>
      <c r="G67" s="32" t="n">
        <f aca="false">F67*(1-$A67+Assumptions!$C$6)+'ARR Model'!G$14</f>
        <v>270.624672844019</v>
      </c>
      <c r="H67" s="32" t="n">
        <f aca="false">G67*(1-$A67+Assumptions!$C$6)+'ARR Model'!H$14</f>
        <v>277.789920839461</v>
      </c>
      <c r="I67" s="32" t="n">
        <f aca="false">H67*(1-$A67+Assumptions!$C$6)+'ARR Model'!I$14</f>
        <v>285.744654136624</v>
      </c>
      <c r="J67" s="32" t="n">
        <f aca="false">I67*(1-$A67+Assumptions!$C$6)+'ARR Model'!J$14</f>
        <v>294.245928895372</v>
      </c>
      <c r="K67" s="32" t="n">
        <f aca="false">J67*(1-$A67+Assumptions!$C$6)+'ARR Model'!K$14</f>
        <v>303.052486444903</v>
      </c>
      <c r="L67" s="32" t="n">
        <f aca="false">K67*(1-$A67+Assumptions!$C$6)+'ARR Model'!L$14</f>
        <v>311.926914953822</v>
      </c>
      <c r="M67" s="32" t="n">
        <f aca="false">SUMPRODUCT((B67:K67+C67:L67)/2*Inputs!$B$36,'ARR Model'!$C$10:$L$10,DCF!$C$5:$L$5)+AVERAGE(K67,L67)*Inputs!$B$36*'ARR Model'!$L$10*(1+Assumptions!$C$14)/(Assumptions!$C$13-Assumptions!$C$14)*DCF!$L$5</f>
        <v>809.304371990716</v>
      </c>
      <c r="N67" s="28" t="n">
        <f aca="false">(M67+Inputs!$B$9-Inputs!$B$10)/Inputs!$B$6*Inputs!$B$7</f>
        <v>43.3457380563892</v>
      </c>
    </row>
    <row r="68" customFormat="false" ht="15" hidden="false" customHeight="false" outlineLevel="0" collapsed="false">
      <c r="A68" s="18" t="n">
        <v>0.19</v>
      </c>
      <c r="B68" s="31" t="n">
        <f aca="false">'ARR Model'!$B$17</f>
        <v>255.1</v>
      </c>
      <c r="C68" s="32" t="n">
        <f aca="false">B68*(1-$A68+Assumptions!$C$6)+'ARR Model'!C$14</f>
        <v>253.4234</v>
      </c>
      <c r="D68" s="32" t="n">
        <f aca="false">C68*(1-$A68+Assumptions!$C$6)+'ARR Model'!D$14</f>
        <v>253.88074</v>
      </c>
      <c r="E68" s="32" t="n">
        <f aca="false">D68*(1-$A68+Assumptions!$C$6)+'ARR Model'!E$14</f>
        <v>256.208182326667</v>
      </c>
      <c r="F68" s="32" t="n">
        <f aca="false">E68*(1-$A68+Assumptions!$C$6)+'ARR Model'!F$14</f>
        <v>260.145289293878</v>
      </c>
      <c r="G68" s="32" t="n">
        <f aca="false">F68*(1-$A68+Assumptions!$C$6)+'ARR Model'!G$14</f>
        <v>265.433759329315</v>
      </c>
      <c r="H68" s="32" t="n">
        <f aca="false">G68*(1-$A68+Assumptions!$C$6)+'ARR Model'!H$14</f>
        <v>271.816884447154</v>
      </c>
      <c r="I68" s="32" t="n">
        <f aca="false">H68*(1-$A68+Assumptions!$C$6)+'ARR Model'!I$14</f>
        <v>279.039702143274</v>
      </c>
      <c r="J68" s="32" t="n">
        <f aca="false">I68*(1-$A68+Assumptions!$C$6)+'ARR Model'!J$14</f>
        <v>286.849798350607</v>
      </c>
      <c r="K68" s="32" t="n">
        <f aca="false">J68*(1-$A68+Assumptions!$C$6)+'ARR Model'!K$14</f>
        <v>294.998700615586</v>
      </c>
      <c r="L68" s="32" t="n">
        <f aca="false">K68*(1-$A68+Assumptions!$C$6)+'ARR Model'!L$14</f>
        <v>303.243783133505</v>
      </c>
      <c r="M68" s="32" t="n">
        <f aca="false">SUMPRODUCT((B68:K68+C68:L68)/2*Inputs!$B$36,'ARR Model'!$C$10:$L$10,DCF!$C$5:$L$5)+AVERAGE(K68,L68)*Inputs!$B$36*'ARR Model'!$L$10*(1+Assumptions!$C$14)/(Assumptions!$C$13-Assumptions!$C$14)*DCF!$L$5</f>
        <v>791.691857842295</v>
      </c>
      <c r="N68" s="28" t="n">
        <f aca="false">(M68+Inputs!$B$9-Inputs!$B$10)/Inputs!$B$6*Inputs!$B$7</f>
        <v>42.3504015854764</v>
      </c>
    </row>
    <row r="69" customFormat="false" ht="15" hidden="false" customHeight="false" outlineLevel="0" collapsed="false">
      <c r="A69" s="18" t="n">
        <v>0.195</v>
      </c>
      <c r="B69" s="31" t="n">
        <f aca="false">'ARR Model'!$B$17</f>
        <v>255.1</v>
      </c>
      <c r="C69" s="32" t="n">
        <f aca="false">B69*(1-$A69+Assumptions!$C$6)+'ARR Model'!C$14</f>
        <v>252.1479</v>
      </c>
      <c r="D69" s="32" t="n">
        <f aca="false">C69*(1-$A69+Assumptions!$C$6)+'ARR Model'!D$14</f>
        <v>251.4848055</v>
      </c>
      <c r="E69" s="32" t="n">
        <f aca="false">D69*(1-$A69+Assumptions!$C$6)+'ARR Model'!E$14</f>
        <v>252.818376594167</v>
      </c>
      <c r="F69" s="32" t="n">
        <f aca="false">E69*(1-$A69+Assumptions!$C$6)+'ARR Model'!F$14</f>
        <v>255.864270308982</v>
      </c>
      <c r="G69" s="32" t="n">
        <f aca="false">F69*(1-$A69+Assumptions!$C$6)+'ARR Model'!G$14</f>
        <v>260.344331081213</v>
      </c>
      <c r="H69" s="32" t="n">
        <f aca="false">G69*(1-$A69+Assumptions!$C$6)+'ARR Model'!H$14</f>
        <v>265.985571650937</v>
      </c>
      <c r="I69" s="32" t="n">
        <f aca="false">H69*(1-$A69+Assumptions!$C$6)+'ARR Model'!I$14</f>
        <v>272.519905896386</v>
      </c>
      <c r="J69" s="32" t="n">
        <f aca="false">I69*(1-$A69+Assumptions!$C$6)+'ARR Model'!J$14</f>
        <v>279.684580161395</v>
      </c>
      <c r="K69" s="32" t="n">
        <f aca="false">J69*(1-$A69+Assumptions!$C$6)+'ARR Model'!K$14</f>
        <v>287.22323352638</v>
      </c>
      <c r="L69" s="32" t="n">
        <f aca="false">K69*(1-$A69+Assumptions!$C$6)+'ARR Model'!L$14</f>
        <v>294.88750125648</v>
      </c>
      <c r="M69" s="32" t="n">
        <f aca="false">SUMPRODUCT((B69:K69+C69:L69)/2*Inputs!$B$36,'ARR Model'!$C$10:$L$10,DCF!$C$5:$L$5)+AVERAGE(K69,L69)*Inputs!$B$36*'ARR Model'!$L$10*(1+Assumptions!$C$14)/(Assumptions!$C$13-Assumptions!$C$14)*DCF!$L$5</f>
        <v>774.628994458663</v>
      </c>
      <c r="N69" s="28" t="n">
        <f aca="false">(M69+Inputs!$B$9-Inputs!$B$10)/Inputs!$B$6*Inputs!$B$7</f>
        <v>41.3861275425537</v>
      </c>
    </row>
    <row r="70" customFormat="false" ht="15" hidden="false" customHeight="false" outlineLevel="0" collapsed="false">
      <c r="A70" s="18" t="n">
        <v>0.2</v>
      </c>
      <c r="B70" s="31" t="n">
        <f aca="false">'ARR Model'!$B$17</f>
        <v>255.1</v>
      </c>
      <c r="C70" s="32" t="n">
        <f aca="false">B70*(1-$A70+Assumptions!$C$6)+'ARR Model'!C$14</f>
        <v>250.8724</v>
      </c>
      <c r="D70" s="32" t="n">
        <f aca="false">C70*(1-$A70+Assumptions!$C$6)+'ARR Model'!D$14</f>
        <v>249.101626</v>
      </c>
      <c r="E70" s="32" t="n">
        <f aca="false">D70*(1-$A70+Assumptions!$C$6)+'ARR Model'!E$14</f>
        <v>249.463754606667</v>
      </c>
      <c r="F70" s="32" t="n">
        <f aca="false">E70*(1-$A70+Assumptions!$C$6)+'ARR Model'!F$14</f>
        <v>251.648111077011</v>
      </c>
      <c r="G70" s="32" t="n">
        <f aca="false">F70*(1-$A70+Assumptions!$C$6)+'ARR Model'!G$14</f>
        <v>255.354789605533</v>
      </c>
      <c r="H70" s="32" t="n">
        <f aca="false">G70*(1-$A70+Assumptions!$C$6)+'ARR Model'!H$14</f>
        <v>260.293053496933</v>
      </c>
      <c r="I70" s="32" t="n">
        <f aca="false">H70*(1-$A70+Assumptions!$C$6)+'ARR Model'!I$14</f>
        <v>266.180562062608</v>
      </c>
      <c r="J70" s="32" t="n">
        <f aca="false">I70*(1-$A70+Assumptions!$C$6)+'ARR Model'!J$14</f>
        <v>272.743358058189</v>
      </c>
      <c r="K70" s="32" t="n">
        <f aca="false">J70*(1-$A70+Assumptions!$C$6)+'ARR Model'!K$14</f>
        <v>279.716535174751</v>
      </c>
      <c r="L70" s="32" t="n">
        <f aca="false">K70*(1-$A70+Assumptions!$C$6)+'ARR Model'!L$14</f>
        <v>286.845490539415</v>
      </c>
      <c r="M70" s="32" t="n">
        <f aca="false">SUMPRODUCT((B70:K70+C70:L70)/2*Inputs!$B$36,'ARR Model'!$C$10:$L$10,DCF!$C$5:$L$5)+AVERAGE(K70,L70)*Inputs!$B$36*'ARR Model'!$L$10*(1+Assumptions!$C$14)/(Assumptions!$C$13-Assumptions!$C$14)*DCF!$L$5</f>
        <v>758.097316770974</v>
      </c>
      <c r="N70" s="28" t="n">
        <f aca="false">(M70+Inputs!$B$9-Inputs!$B$10)/Inputs!$B$6*Inputs!$B$7</f>
        <v>40.4518724107044</v>
      </c>
    </row>
    <row r="71" customFormat="false" ht="15" hidden="false" customHeight="false" outlineLevel="0" collapsed="false">
      <c r="A71" s="18" t="n">
        <v>0.205</v>
      </c>
      <c r="B71" s="31" t="n">
        <f aca="false">'ARR Model'!$B$17</f>
        <v>255.1</v>
      </c>
      <c r="C71" s="32" t="n">
        <f aca="false">B71*(1-$A71+Assumptions!$C$6)+'ARR Model'!C$14</f>
        <v>249.5969</v>
      </c>
      <c r="D71" s="32" t="n">
        <f aca="false">C71*(1-$A71+Assumptions!$C$6)+'ARR Model'!D$14</f>
        <v>246.7312015</v>
      </c>
      <c r="E71" s="32" t="n">
        <f aca="false">D71*(1-$A71+Assumptions!$C$6)+'ARR Model'!E$14</f>
        <v>246.144125039167</v>
      </c>
      <c r="F71" s="32" t="n">
        <f aca="false">E71*(1-$A71+Assumptions!$C$6)+'ARR Model'!F$14</f>
        <v>247.496116432415</v>
      </c>
      <c r="G71" s="32" t="n">
        <f aca="false">F71*(1-$A71+Assumptions!$C$6)+'ARR Model'!G$14</f>
        <v>250.463553736127</v>
      </c>
      <c r="H71" s="32" t="n">
        <f aca="false">G71*(1-$A71+Assumptions!$C$6)+'ARR Model'!H$14</f>
        <v>254.736448163175</v>
      </c>
      <c r="I71" s="32" t="n">
        <f aca="false">H71*(1-$A71+Assumptions!$C$6)+'ARR Model'!I$14</f>
        <v>260.017067128085</v>
      </c>
      <c r="J71" s="32" t="n">
        <f aca="false">I71*(1-$A71+Assumptions!$C$6)+'ARR Model'!J$14</f>
        <v>266.019397180168</v>
      </c>
      <c r="K71" s="32" t="n">
        <f aca="false">J71*(1-$A71+Assumptions!$C$6)+'ARR Model'!K$14</f>
        <v>272.469352616192</v>
      </c>
      <c r="L71" s="32" t="n">
        <f aca="false">K71*(1-$A71+Assumptions!$C$6)+'ARR Model'!L$14</f>
        <v>279.105623124802</v>
      </c>
      <c r="M71" s="32" t="n">
        <f aca="false">SUMPRODUCT((B71:K71+C71:L71)/2*Inputs!$B$36,'ARR Model'!$C$10:$L$10,DCF!$C$5:$L$5)+AVERAGE(K71,L71)*Inputs!$B$36*'ARR Model'!$L$10*(1+Assumptions!$C$14)/(Assumptions!$C$13-Assumptions!$C$14)*DCF!$L$5</f>
        <v>742.078952382826</v>
      </c>
      <c r="N71" s="28" t="n">
        <f aca="false">(M71+Inputs!$B$9-Inputs!$B$10)/Inputs!$B$6*Inputs!$B$7</f>
        <v>39.5466261667248</v>
      </c>
    </row>
    <row r="72" customFormat="false" ht="15" hidden="false" customHeight="false" outlineLevel="0" collapsed="false">
      <c r="A72" s="18" t="n">
        <v>0.21</v>
      </c>
      <c r="B72" s="31" t="n">
        <f aca="false">'ARR Model'!$B$17</f>
        <v>255.1</v>
      </c>
      <c r="C72" s="32" t="n">
        <f aca="false">B72*(1-$A72+Assumptions!$C$6)+'ARR Model'!C$14</f>
        <v>248.3214</v>
      </c>
      <c r="D72" s="32" t="n">
        <f aca="false">C72*(1-$A72+Assumptions!$C$6)+'ARR Model'!D$14</f>
        <v>244.373532</v>
      </c>
      <c r="E72" s="32" t="n">
        <f aca="false">D72*(1-$A72+Assumptions!$C$6)+'ARR Model'!E$14</f>
        <v>242.859296566667</v>
      </c>
      <c r="F72" s="32" t="n">
        <f aca="false">E72*(1-$A72+Assumptions!$C$6)+'ARR Model'!F$14</f>
        <v>243.407595036144</v>
      </c>
      <c r="G72" s="32" t="n">
        <f aca="false">F72*(1-$A72+Assumptions!$C$6)+'ARR Model'!G$14</f>
        <v>245.669059539209</v>
      </c>
      <c r="H72" s="32" t="n">
        <f aca="false">G72*(1-$A72+Assumptions!$C$6)+'ARR Model'!H$14</f>
        <v>249.312920443176</v>
      </c>
      <c r="I72" s="32" t="n">
        <f aca="false">H72*(1-$A72+Assumptions!$C$6)+'ARR Model'!I$14</f>
        <v>254.02491577087</v>
      </c>
      <c r="J72" s="32" t="n">
        <f aca="false">I72*(1-$A72+Assumptions!$C$6)+'ARR Model'!J$14</f>
        <v>259.50614016375</v>
      </c>
      <c r="K72" s="32" t="n">
        <f aca="false">J72*(1-$A72+Assumptions!$C$6)+'ARR Model'!K$14</f>
        <v>265.472722026008</v>
      </c>
      <c r="L72" s="32" t="n">
        <f aca="false">K72*(1-$A72+Assumptions!$C$6)+'ARR Model'!L$14</f>
        <v>271.656207748261</v>
      </c>
      <c r="M72" s="32" t="n">
        <f aca="false">SUMPRODUCT((B72:K72+C72:L72)/2*Inputs!$B$36,'ARR Model'!$C$10:$L$10,DCF!$C$5:$L$5)+AVERAGE(K72,L72)*Inputs!$B$36*'ARR Model'!$L$10*(1+Assumptions!$C$14)/(Assumptions!$C$13-Assumptions!$C$14)*DCF!$L$5</f>
        <v>726.556604508442</v>
      </c>
      <c r="N72" s="28" t="n">
        <f aca="false">(M72+Inputs!$B$9-Inputs!$B$10)/Inputs!$B$6*Inputs!$B$7</f>
        <v>38.66941131691</v>
      </c>
    </row>
    <row r="73" customFormat="false" ht="15" hidden="false" customHeight="false" outlineLevel="0" collapsed="false">
      <c r="A73" s="18" t="n">
        <v>0.215</v>
      </c>
      <c r="B73" s="31" t="n">
        <f aca="false">'ARR Model'!$B$17</f>
        <v>255.1</v>
      </c>
      <c r="C73" s="32" t="n">
        <f aca="false">B73*(1-$A73+Assumptions!$C$6)+'ARR Model'!C$14</f>
        <v>247.0459</v>
      </c>
      <c r="D73" s="32" t="n">
        <f aca="false">C73*(1-$A73+Assumptions!$C$6)+'ARR Model'!D$14</f>
        <v>242.0286175</v>
      </c>
      <c r="E73" s="32" t="n">
        <f aca="false">D73*(1-$A73+Assumptions!$C$6)+'ARR Model'!E$14</f>
        <v>239.609077864167</v>
      </c>
      <c r="F73" s="32" t="n">
        <f aca="false">E73*(1-$A73+Assumptions!$C$6)+'ARR Model'!F$14</f>
        <v>239.381859375649</v>
      </c>
      <c r="G73" s="32" t="n">
        <f aca="false">F73*(1-$A73+Assumptions!$C$6)+'ARR Model'!G$14</f>
        <v>240.9697602177</v>
      </c>
      <c r="H73" s="32" t="n">
        <f aca="false">G73*(1-$A73+Assumptions!$C$6)+'ARR Model'!H$14</f>
        <v>244.019681232374</v>
      </c>
      <c r="I73" s="32" t="n">
        <f aca="false">H73*(1-$A73+Assumptions!$C$6)+'ARR Model'!I$14</f>
        <v>248.199699251311</v>
      </c>
      <c r="J73" s="32" t="n">
        <f aca="false">I73*(1-$A73+Assumptions!$C$6)+'ARR Model'!J$14</f>
        <v>253.197203295477</v>
      </c>
      <c r="K73" s="32" t="n">
        <f aca="false">J73*(1-$A73+Assumptions!$C$6)+'ARR Model'!K$14</f>
        <v>258.717960934133</v>
      </c>
      <c r="L73" s="32" t="n">
        <f aca="false">K73*(1-$A73+Assumptions!$C$6)+'ARR Model'!L$14</f>
        <v>264.485975793659</v>
      </c>
      <c r="M73" s="32" t="n">
        <f aca="false">SUMPRODUCT((B73:K73+C73:L73)/2*Inputs!$B$36,'ARR Model'!$C$10:$L$10,DCF!$C$5:$L$5)+AVERAGE(K73,L73)*Inputs!$B$36*'ARR Model'!$L$10*(1+Assumptions!$C$14)/(Assumptions!$C$13-Assumptions!$C$14)*DCF!$L$5</f>
        <v>711.513535330663</v>
      </c>
      <c r="N73" s="28" t="n">
        <f aca="false">(M73+Inputs!$B$9-Inputs!$B$10)/Inputs!$B$6*Inputs!$B$7</f>
        <v>37.8192819565625</v>
      </c>
    </row>
    <row r="74" customFormat="false" ht="15" hidden="false" customHeight="false" outlineLevel="0" collapsed="false">
      <c r="A74" s="18" t="n">
        <v>0.22</v>
      </c>
      <c r="B74" s="31" t="n">
        <f aca="false">'ARR Model'!$B$17</f>
        <v>255.1</v>
      </c>
      <c r="C74" s="32" t="n">
        <f aca="false">B74*(1-$A74+Assumptions!$C$6)+'ARR Model'!C$14</f>
        <v>245.7704</v>
      </c>
      <c r="D74" s="32" t="n">
        <f aca="false">C74*(1-$A74+Assumptions!$C$6)+'ARR Model'!D$14</f>
        <v>239.696458</v>
      </c>
      <c r="E74" s="32" t="n">
        <f aca="false">D74*(1-$A74+Assumptions!$C$6)+'ARR Model'!E$14</f>
        <v>236.393277606667</v>
      </c>
      <c r="F74" s="32" t="n">
        <f aca="false">E74*(1-$A74+Assumptions!$C$6)+'ARR Model'!F$14</f>
        <v>235.418225764878</v>
      </c>
      <c r="G74" s="32" t="n">
        <f aca="false">F74*(1-$A74+Assumptions!$C$6)+'ARR Model'!G$14</f>
        <v>236.364126015558</v>
      </c>
      <c r="H74" s="32" t="n">
        <f aca="false">G74*(1-$A74+Assumptions!$C$6)+'ARR Model'!H$14</f>
        <v>238.853987017444</v>
      </c>
      <c r="I74" s="32" t="n">
        <f aca="false">H74*(1-$A74+Assumptions!$C$6)+'ARR Model'!I$14</f>
        <v>242.537103820309</v>
      </c>
      <c r="J74" s="32" t="n">
        <f aca="false">I74*(1-$A74+Assumptions!$C$6)+'ARR Model'!J$14</f>
        <v>247.086372728559</v>
      </c>
      <c r="K74" s="32" t="n">
        <f aca="false">J74*(1-$A74+Assumptions!$C$6)+'ARR Model'!K$14</f>
        <v>252.196660630106</v>
      </c>
      <c r="L74" s="32" t="n">
        <f aca="false">K74*(1-$A74+Assumptions!$C$6)+'ARR Model'!L$14</f>
        <v>257.584067727525</v>
      </c>
      <c r="M74" s="32" t="n">
        <f aca="false">SUMPRODUCT((B74:K74+C74:L74)/2*Inputs!$B$36,'ARR Model'!$C$10:$L$10,DCF!$C$5:$L$5)+AVERAGE(K74,L74)*Inputs!$B$36*'ARR Model'!$L$10*(1+Assumptions!$C$14)/(Assumptions!$C$13-Assumptions!$C$14)*DCF!$L$5</f>
        <v>696.933549770339</v>
      </c>
      <c r="N74" s="28" t="n">
        <f aca="false">(M74+Inputs!$B$9-Inputs!$B$10)/Inputs!$B$6*Inputs!$B$7</f>
        <v>36.9953228527526</v>
      </c>
    </row>
    <row r="75" customFormat="false" ht="15" hidden="false" customHeight="false" outlineLevel="0" collapsed="false">
      <c r="A75" s="18" t="n">
        <v>0.225</v>
      </c>
      <c r="B75" s="31" t="n">
        <f aca="false">'ARR Model'!$B$17</f>
        <v>255.1</v>
      </c>
      <c r="C75" s="32" t="n">
        <f aca="false">B75*(1-$A75+Assumptions!$C$6)+'ARR Model'!C$14</f>
        <v>244.4949</v>
      </c>
      <c r="D75" s="32" t="n">
        <f aca="false">C75*(1-$A75+Assumptions!$C$6)+'ARR Model'!D$14</f>
        <v>237.3770535</v>
      </c>
      <c r="E75" s="32" t="n">
        <f aca="false">D75*(1-$A75+Assumptions!$C$6)+'ARR Model'!E$14</f>
        <v>233.211704469167</v>
      </c>
      <c r="F75" s="32" t="n">
        <f aca="false">E75*(1-$A75+Assumptions!$C$6)+'ARR Model'!F$14</f>
        <v>231.516014344282</v>
      </c>
      <c r="G75" s="32" t="n">
        <f aca="false">F75*(1-$A75+Assumptions!$C$6)+'ARR Model'!G$14</f>
        <v>231.850644122125</v>
      </c>
      <c r="H75" s="32" t="n">
        <f aca="false">G75*(1-$A75+Assumptions!$C$6)+'ARR Model'!H$14</f>
        <v>233.813139368481</v>
      </c>
      <c r="I75" s="32" t="n">
        <f aca="false">H75*(1-$A75+Assumptions!$C$6)+'ARR Model'!I$14</f>
        <v>237.032909145358</v>
      </c>
      <c r="J75" s="32" t="n">
        <f aca="false">I75*(1-$A75+Assumptions!$C$6)+'ARR Model'!J$14</f>
        <v>241.167600762374</v>
      </c>
      <c r="K75" s="32" t="n">
        <f aca="false">J75*(1-$A75+Assumptions!$C$6)+'ARR Model'!K$14</f>
        <v>245.900678735375</v>
      </c>
      <c r="L75" s="32" t="n">
        <f aca="false">K75*(1-$A75+Assumptions!$C$6)+'ARR Model'!L$14</f>
        <v>250.940019904379</v>
      </c>
      <c r="M75" s="32" t="n">
        <f aca="false">SUMPRODUCT((B75:K75+C75:L75)/2*Inputs!$B$36,'ARR Model'!$C$10:$L$10,DCF!$C$5:$L$5)+AVERAGE(K75,L75)*Inputs!$B$36*'ARR Model'!$L$10*(1+Assumptions!$C$14)/(Assumptions!$C$13-Assumptions!$C$14)*DCF!$L$5</f>
        <v>682.800979658886</v>
      </c>
      <c r="N75" s="28" t="n">
        <f aca="false">(M75+Inputs!$B$9-Inputs!$B$10)/Inputs!$B$6*Inputs!$B$7</f>
        <v>36.1966485498609</v>
      </c>
    </row>
    <row r="76" customFormat="false" ht="15" hidden="false" customHeight="false" outlineLevel="0" collapsed="false">
      <c r="A76" s="18" t="n">
        <v>0.23</v>
      </c>
      <c r="B76" s="31" t="n">
        <f aca="false">'ARR Model'!$B$17</f>
        <v>255.1</v>
      </c>
      <c r="C76" s="32" t="n">
        <f aca="false">B76*(1-$A76+Assumptions!$C$6)+'ARR Model'!C$14</f>
        <v>243.2194</v>
      </c>
      <c r="D76" s="32" t="n">
        <f aca="false">C76*(1-$A76+Assumptions!$C$6)+'ARR Model'!D$14</f>
        <v>235.070404</v>
      </c>
      <c r="E76" s="32" t="n">
        <f aca="false">D76*(1-$A76+Assumptions!$C$6)+'ARR Model'!E$14</f>
        <v>230.064167126667</v>
      </c>
      <c r="F76" s="32" t="n">
        <f aca="false">E76*(1-$A76+Assumptions!$C$6)+'ARR Model'!F$14</f>
        <v>227.674549080811</v>
      </c>
      <c r="G76" s="32" t="n">
        <f aca="false">F76*(1-$A76+Assumptions!$C$6)+'ARR Model'!G$14</f>
        <v>227.427818576453</v>
      </c>
      <c r="H76" s="32" t="n">
        <f aca="false">G76*(1-$A76+Assumptions!$C$6)+'ARR Model'!H$14</f>
        <v>228.894484434049</v>
      </c>
      <c r="I76" s="32" t="n">
        <f aca="false">H76*(1-$A76+Assumptions!$C$6)+'ARR Model'!I$14</f>
        <v>231.682986754249</v>
      </c>
      <c r="J76" s="32" t="n">
        <f aca="false">I76*(1-$A76+Assumptions!$C$6)+'ARR Model'!J$14</f>
        <v>235.435002184205</v>
      </c>
      <c r="K76" s="32" t="n">
        <f aca="false">J76*(1-$A76+Assumptions!$C$6)+'ARR Model'!K$14</f>
        <v>239.822131940119</v>
      </c>
      <c r="L76" s="32" t="n">
        <f aca="false">K76*(1-$A76+Assumptions!$C$6)+'ARR Model'!L$14</f>
        <v>244.543751734735</v>
      </c>
      <c r="M76" s="32" t="n">
        <f aca="false">SUMPRODUCT((B76:K76+C76:L76)/2*Inputs!$B$36,'ARR Model'!$C$10:$L$10,DCF!$C$5:$L$5)+AVERAGE(K76,L76)*Inputs!$B$36*'ARR Model'!$L$10*(1+Assumptions!$C$14)/(Assumptions!$C$13-Assumptions!$C$14)*DCF!$L$5</f>
        <v>669.100668305865</v>
      </c>
      <c r="N76" s="28" t="n">
        <f aca="false">(M76+Inputs!$B$9-Inputs!$B$10)/Inputs!$B$6*Inputs!$B$7</f>
        <v>35.4224024974457</v>
      </c>
    </row>
    <row r="77" customFormat="false" ht="15" hidden="false" customHeight="false" outlineLevel="0" collapsed="false">
      <c r="A77" s="18" t="n">
        <v>0.235</v>
      </c>
      <c r="B77" s="31" t="n">
        <f aca="false">'ARR Model'!$B$17</f>
        <v>255.1</v>
      </c>
      <c r="C77" s="32" t="n">
        <f aca="false">B77*(1-$A77+Assumptions!$C$6)+'ARR Model'!C$14</f>
        <v>241.9439</v>
      </c>
      <c r="D77" s="32" t="n">
        <f aca="false">C77*(1-$A77+Assumptions!$C$6)+'ARR Model'!D$14</f>
        <v>232.7765095</v>
      </c>
      <c r="E77" s="32" t="n">
        <f aca="false">D77*(1-$A77+Assumptions!$C$6)+'ARR Model'!E$14</f>
        <v>226.950474254167</v>
      </c>
      <c r="F77" s="32" t="n">
        <f aca="false">E77*(1-$A77+Assumptions!$C$6)+'ARR Model'!F$14</f>
        <v>223.893157767915</v>
      </c>
      <c r="G77" s="32" t="n">
        <f aca="false">F77*(1-$A77+Assumptions!$C$6)+'ARR Model'!G$14</f>
        <v>223.094170171652</v>
      </c>
      <c r="H77" s="32" t="n">
        <f aca="false">G77*(1-$A77+Assumptions!$C$6)+'ARR Model'!H$14</f>
        <v>224.09541243911</v>
      </c>
      <c r="I77" s="32" t="n">
        <f aca="false">H77*(1-$A77+Assumptions!$C$6)+'ARR Model'!I$14</f>
        <v>226.483298496355</v>
      </c>
      <c r="J77" s="32" t="n">
        <f aca="false">I77*(1-$A77+Assumptions!$C$6)+'ARR Model'!J$14</f>
        <v>229.882850672513</v>
      </c>
      <c r="K77" s="32" t="n">
        <f aca="false">J77*(1-$A77+Assumptions!$C$6)+'ARR Model'!K$14</f>
        <v>233.953388901819</v>
      </c>
      <c r="L77" s="32" t="n">
        <f aca="false">K77*(1-$A77+Assumptions!$C$6)+'ARR Model'!L$14</f>
        <v>238.385553207671</v>
      </c>
      <c r="M77" s="32" t="n">
        <f aca="false">SUMPRODUCT((B77:K77+C77:L77)/2*Inputs!$B$36,'ARR Model'!$C$10:$L$10,DCF!$C$5:$L$5)+AVERAGE(K77,L77)*Inputs!$B$36*'ARR Model'!$L$10*(1+Assumptions!$C$14)/(Assumptions!$C$13-Assumptions!$C$14)*DCF!$L$5</f>
        <v>655.81795545357</v>
      </c>
      <c r="N77" s="28" t="n">
        <f aca="false">(M77+Inputs!$B$9-Inputs!$B$10)/Inputs!$B$6*Inputs!$B$7</f>
        <v>34.6717561999813</v>
      </c>
    </row>
    <row r="78" customFormat="false" ht="15" hidden="false" customHeight="false" outlineLevel="0" collapsed="false">
      <c r="A78" s="18" t="n">
        <v>0.24</v>
      </c>
      <c r="B78" s="31" t="n">
        <f aca="false">'ARR Model'!$B$17</f>
        <v>255.1</v>
      </c>
      <c r="C78" s="32" t="n">
        <f aca="false">B78*(1-$A78+Assumptions!$C$6)+'ARR Model'!C$14</f>
        <v>240.6684</v>
      </c>
      <c r="D78" s="32" t="n">
        <f aca="false">C78*(1-$A78+Assumptions!$C$6)+'ARR Model'!D$14</f>
        <v>230.49537</v>
      </c>
      <c r="E78" s="32" t="n">
        <f aca="false">D78*(1-$A78+Assumptions!$C$6)+'ARR Model'!E$14</f>
        <v>223.870434526667</v>
      </c>
      <c r="F78" s="32" t="n">
        <f aca="false">E78*(1-$A78+Assumptions!$C$6)+'ARR Model'!F$14</f>
        <v>220.171172025544</v>
      </c>
      <c r="G78" s="32" t="n">
        <f aca="false">F78*(1-$A78+Assumptions!$C$6)+'ARR Model'!G$14</f>
        <v>218.848236359221</v>
      </c>
      <c r="H78" s="32" t="n">
        <f aca="false">G78*(1-$A78+Assumptions!$C$6)+'ARR Model'!H$14</f>
        <v>219.41335718581</v>
      </c>
      <c r="I78" s="32" t="n">
        <f aca="false">H78*(1-$A78+Assumptions!$C$6)+'ARR Model'!I$14</f>
        <v>221.429895021387</v>
      </c>
      <c r="J78" s="32" t="n">
        <f aca="false">I78*(1-$A78+Assumptions!$C$6)+'ARR Model'!J$14</f>
        <v>224.505575261058</v>
      </c>
      <c r="K78" s="32" t="n">
        <f aca="false">J78*(1-$A78+Assumptions!$C$6)+'ARR Model'!K$14</f>
        <v>228.287063302834</v>
      </c>
      <c r="L78" s="32" t="n">
        <f aca="false">K78*(1-$A78+Assumptions!$C$6)+'ARR Model'!L$14</f>
        <v>232.456072760014</v>
      </c>
      <c r="M78" s="32" t="n">
        <f aca="false">SUMPRODUCT((B78:K78+C78:L78)/2*Inputs!$B$36,'ARR Model'!$C$10:$L$10,DCF!$C$5:$L$5)+AVERAGE(K78,L78)*Inputs!$B$36*'ARR Model'!$L$10*(1+Assumptions!$C$14)/(Assumptions!$C$13-Assumptions!$C$14)*DCF!$L$5</f>
        <v>642.93866261075</v>
      </c>
      <c r="N78" s="28" t="n">
        <f aca="false">(M78+Inputs!$B$9-Inputs!$B$10)/Inputs!$B$6*Inputs!$B$7</f>
        <v>33.9439083880224</v>
      </c>
    </row>
    <row r="79" customFormat="false" ht="15" hidden="false" customHeight="false" outlineLevel="0" collapsed="false">
      <c r="A79" s="18" t="n">
        <v>0.245</v>
      </c>
      <c r="B79" s="31" t="n">
        <f aca="false">'ARR Model'!$B$17</f>
        <v>255.1</v>
      </c>
      <c r="C79" s="32" t="n">
        <f aca="false">B79*(1-$A79+Assumptions!$C$6)+'ARR Model'!C$14</f>
        <v>239.3929</v>
      </c>
      <c r="D79" s="32" t="n">
        <f aca="false">C79*(1-$A79+Assumptions!$C$6)+'ARR Model'!D$14</f>
        <v>228.2269855</v>
      </c>
      <c r="E79" s="32" t="n">
        <f aca="false">D79*(1-$A79+Assumptions!$C$6)+'ARR Model'!E$14</f>
        <v>220.823856619167</v>
      </c>
      <c r="F79" s="32" t="n">
        <f aca="false">E79*(1-$A79+Assumptions!$C$6)+'ARR Model'!F$14</f>
        <v>216.507927300149</v>
      </c>
      <c r="G79" s="32" t="n">
        <f aca="false">F79*(1-$A79+Assumptions!$C$6)+'ARR Model'!G$14</f>
        <v>214.688571153388</v>
      </c>
      <c r="H79" s="32" t="n">
        <f aca="false">G79*(1-$A79+Assumptions!$C$6)+'ARR Model'!H$14</f>
        <v>214.845795557143</v>
      </c>
      <c r="I79" s="32" t="n">
        <f aca="false">H79*(1-$A79+Assumptions!$C$6)+'ARR Model'!I$14</f>
        <v>216.518914275521</v>
      </c>
      <c r="J79" s="32" t="n">
        <f aca="false">I79*(1-$A79+Assumptions!$C$6)+'ARR Model'!J$14</f>
        <v>219.297756863153</v>
      </c>
      <c r="K79" s="32" t="n">
        <f aca="false">J79*(1-$A79+Assumptions!$C$6)+'ARR Model'!K$14</f>
        <v>222.816007064278</v>
      </c>
      <c r="L79" s="32" t="n">
        <f aca="false">K79*(1-$A79+Assumptions!$C$6)+'ARR Model'!L$14</f>
        <v>226.746305484306</v>
      </c>
      <c r="M79" s="32" t="n">
        <f aca="false">SUMPRODUCT((B79:K79+C79:L79)/2*Inputs!$B$36,'ARR Model'!$C$10:$L$10,DCF!$C$5:$L$5)+AVERAGE(K79,L79)*Inputs!$B$36*'ARR Model'!$L$10*(1+Assumptions!$C$14)/(Assumptions!$C$13-Assumptions!$C$14)*DCF!$L$5</f>
        <v>630.44907875769</v>
      </c>
      <c r="N79" s="28" t="n">
        <f aca="false">(M79+Inputs!$B$9-Inputs!$B$10)/Inputs!$B$6*Inputs!$B$7</f>
        <v>33.2380842103544</v>
      </c>
    </row>
    <row r="80" customFormat="false" ht="15" hidden="false" customHeight="false" outlineLevel="0" collapsed="false">
      <c r="A80" s="18" t="n">
        <v>0.25</v>
      </c>
      <c r="B80" s="31" t="n">
        <f aca="false">'ARR Model'!$B$17</f>
        <v>255.1</v>
      </c>
      <c r="C80" s="32" t="n">
        <f aca="false">B80*(1-$A80+Assumptions!$C$6)+'ARR Model'!C$14</f>
        <v>238.1174</v>
      </c>
      <c r="D80" s="32" t="n">
        <f aca="false">C80*(1-$A80+Assumptions!$C$6)+'ARR Model'!D$14</f>
        <v>225.971356</v>
      </c>
      <c r="E80" s="32" t="n">
        <f aca="false">D80*(1-$A80+Assumptions!$C$6)+'ARR Model'!E$14</f>
        <v>217.810549206667</v>
      </c>
      <c r="F80" s="32" t="n">
        <f aca="false">E80*(1-$A80+Assumptions!$C$6)+'ARR Model'!F$14</f>
        <v>212.902762864678</v>
      </c>
      <c r="G80" s="32" t="n">
        <f aca="false">F80*(1-$A80+Assumptions!$C$6)+'ARR Model'!G$14</f>
        <v>210.613745035446</v>
      </c>
      <c r="H80" s="32" t="n">
        <f aca="false">G80*(1-$A80+Assumptions!$C$6)+'ARR Model'!H$14</f>
        <v>210.390247023484</v>
      </c>
      <c r="I80" s="32" t="n">
        <f aca="false">H80*(1-$A80+Assumptions!$C$6)+'ARR Model'!I$14</f>
        <v>211.746580014799</v>
      </c>
      <c r="J80" s="32" t="n">
        <f aca="false">I80*(1-$A80+Assumptions!$C$6)+'ARR Model'!J$14</f>
        <v>214.254124855376</v>
      </c>
      <c r="K80" s="32" t="n">
        <f aca="false">J80*(1-$A80+Assumptions!$C$6)+'ARR Model'!K$14</f>
        <v>217.533303713508</v>
      </c>
      <c r="L80" s="32" t="n">
        <f aca="false">K80*(1-$A80+Assumptions!$C$6)+'ARR Model'!L$14</f>
        <v>221.247581667845</v>
      </c>
      <c r="M80" s="32" t="n">
        <f aca="false">SUMPRODUCT((B80:K80+C80:L80)/2*Inputs!$B$36,'ARR Model'!$C$10:$L$10,DCF!$C$5:$L$5)+AVERAGE(K80,L80)*Inputs!$B$36*'ARR Model'!$L$10*(1+Assumptions!$C$14)/(Assumptions!$C$13-Assumptions!$C$14)*DCF!$L$5</f>
        <v>618.335946415015</v>
      </c>
      <c r="N80" s="28" t="n">
        <f aca="false">(M80+Inputs!$B$9-Inputs!$B$10)/Inputs!$B$6*Inputs!$B$7</f>
        <v>32.5535344467003</v>
      </c>
    </row>
    <row r="81" customFormat="false" ht="15" hidden="false" customHeight="false" outlineLevel="0" collapsed="false">
      <c r="A81" s="18" t="n">
        <v>0.255</v>
      </c>
      <c r="B81" s="31" t="n">
        <f aca="false">'ARR Model'!$B$17</f>
        <v>255.1</v>
      </c>
      <c r="C81" s="32" t="n">
        <f aca="false">B81*(1-$A81+Assumptions!$C$6)+'ARR Model'!C$14</f>
        <v>236.8419</v>
      </c>
      <c r="D81" s="32" t="n">
        <f aca="false">C81*(1-$A81+Assumptions!$C$6)+'ARR Model'!D$14</f>
        <v>223.7284815</v>
      </c>
      <c r="E81" s="32" t="n">
        <f aca="false">D81*(1-$A81+Assumptions!$C$6)+'ARR Model'!E$14</f>
        <v>214.830320964167</v>
      </c>
      <c r="F81" s="32" t="n">
        <f aca="false">E81*(1-$A81+Assumptions!$C$6)+'ARR Model'!F$14</f>
        <v>209.355021818582</v>
      </c>
      <c r="G81" s="32" t="n">
        <f aca="false">F81*(1-$A81+Assumptions!$C$6)+'ARR Model'!G$14</f>
        <v>206.622344858094</v>
      </c>
      <c r="H81" s="32" t="n">
        <f aca="false">G81*(1-$A81+Assumptions!$C$6)+'ARR Model'!H$14</f>
        <v>206.044273151991</v>
      </c>
      <c r="I81" s="32" t="n">
        <f aca="false">H81*(1-$A81+Assumptions!$C$6)+'ARR Model'!I$14</f>
        <v>207.1092003357</v>
      </c>
      <c r="J81" s="32" t="n">
        <f aca="false">I81*(1-$A81+Assumptions!$C$6)+'ARR Model'!J$14</f>
        <v>209.369553720046</v>
      </c>
      <c r="K81" s="32" t="n">
        <f aca="false">J81*(1-$A81+Assumptions!$C$6)+'ARR Model'!K$14</f>
        <v>212.432261902583</v>
      </c>
      <c r="L81" s="32" t="n">
        <f aca="false">K81*(1-$A81+Assumptions!$C$6)+'ARR Model'!L$14</f>
        <v>215.951555655264</v>
      </c>
      <c r="M81" s="32" t="n">
        <f aca="false">SUMPRODUCT((B81:K81+C81:L81)/2*Inputs!$B$36,'ARR Model'!$C$10:$L$10,DCF!$C$5:$L$5)+AVERAGE(K81,L81)*Inputs!$B$36*'ARR Model'!$L$10*(1+Assumptions!$C$14)/(Assumptions!$C$13-Assumptions!$C$14)*DCF!$L$5</f>
        <v>606.58644806869</v>
      </c>
      <c r="N81" s="28" t="n">
        <f aca="false">(M81+Inputs!$B$9-Inputs!$B$10)/Inputs!$B$6*Inputs!$B$7</f>
        <v>31.8895347405552</v>
      </c>
    </row>
    <row r="82" customFormat="false" ht="15" hidden="false" customHeight="false" outlineLevel="0" collapsed="false">
      <c r="A82" s="18" t="n">
        <v>0.26</v>
      </c>
      <c r="B82" s="31" t="n">
        <f aca="false">'ARR Model'!$B$17</f>
        <v>255.1</v>
      </c>
      <c r="C82" s="32" t="n">
        <f aca="false">B82*(1-$A82+Assumptions!$C$6)+'ARR Model'!C$14</f>
        <v>235.5664</v>
      </c>
      <c r="D82" s="32" t="n">
        <f aca="false">C82*(1-$A82+Assumptions!$C$6)+'ARR Model'!D$14</f>
        <v>221.498362</v>
      </c>
      <c r="E82" s="32" t="n">
        <f aca="false">D82*(1-$A82+Assumptions!$C$6)+'ARR Model'!E$14</f>
        <v>211.882980566667</v>
      </c>
      <c r="F82" s="32" t="n">
        <f aca="false">E82*(1-$A82+Assumptions!$C$6)+'ARR Model'!F$14</f>
        <v>205.864051087811</v>
      </c>
      <c r="G82" s="32" t="n">
        <f aca="false">F82*(1-$A82+Assumptions!$C$6)+'ARR Model'!G$14</f>
        <v>202.712973749769</v>
      </c>
      <c r="H82" s="32" t="n">
        <f aca="false">G82*(1-$A82+Assumptions!$C$6)+'ARR Model'!H$14</f>
        <v>201.805477118874</v>
      </c>
      <c r="I82" s="32" t="n">
        <f aca="false">H82*(1-$A82+Assumptions!$C$6)+'ARR Model'!I$14</f>
        <v>202.603166222784</v>
      </c>
      <c r="J82" s="32" t="n">
        <f aca="false">I82*(1-$A82+Assumptions!$C$6)+'ARR Model'!J$14</f>
        <v>204.639059745776</v>
      </c>
      <c r="K82" s="32" t="n">
        <f aca="false">J82*(1-$A82+Assumptions!$C$6)+'ARR Model'!K$14</f>
        <v>207.506409075081</v>
      </c>
      <c r="L82" s="32" t="n">
        <f aca="false">K82*(1-$A82+Assumptions!$C$6)+'ARR Model'!L$14</f>
        <v>210.850195027201</v>
      </c>
      <c r="M82" s="32" t="n">
        <f aca="false">SUMPRODUCT((B82:K82+C82:L82)/2*Inputs!$B$36,'ARR Model'!$C$10:$L$10,DCF!$C$5:$L$5)+AVERAGE(K82,L82)*Inputs!$B$36*'ARR Model'!$L$10*(1+Assumptions!$C$14)/(Assumptions!$C$13-Assumptions!$C$14)*DCF!$L$5</f>
        <v>595.188192943804</v>
      </c>
      <c r="N82" s="28" t="n">
        <f aca="false">(M82+Inputs!$B$9-Inputs!$B$10)/Inputs!$B$6*Inputs!$B$7</f>
        <v>31.245384851734</v>
      </c>
    </row>
    <row r="83" customFormat="false" ht="15" hidden="false" customHeight="false" outlineLevel="0" collapsed="false">
      <c r="A83" s="18" t="n">
        <v>0.265</v>
      </c>
      <c r="B83" s="31" t="n">
        <f aca="false">'ARR Model'!$B$17</f>
        <v>255.1</v>
      </c>
      <c r="C83" s="32" t="n">
        <f aca="false">B83*(1-$A83+Assumptions!$C$6)+'ARR Model'!C$14</f>
        <v>234.2909</v>
      </c>
      <c r="D83" s="32" t="n">
        <f aca="false">C83*(1-$A83+Assumptions!$C$6)+'ARR Model'!D$14</f>
        <v>219.2809975</v>
      </c>
      <c r="E83" s="32" t="n">
        <f aca="false">D83*(1-$A83+Assumptions!$C$6)+'ARR Model'!E$14</f>
        <v>208.968336689167</v>
      </c>
      <c r="F83" s="32" t="n">
        <f aca="false">E83*(1-$A83+Assumptions!$C$6)+'ARR Model'!F$14</f>
        <v>202.429201424815</v>
      </c>
      <c r="G83" s="32" t="n">
        <f aca="false">F83*(1-$A83+Assumptions!$C$6)+'ARR Model'!G$14</f>
        <v>198.884251018988</v>
      </c>
      <c r="H83" s="32" t="n">
        <f aca="false">G83*(1-$A83+Assumptions!$C$6)+'ARR Model'!H$14</f>
        <v>197.671503224539</v>
      </c>
      <c r="I83" s="32" t="n">
        <f aca="false">H83*(1-$A83+Assumptions!$C$6)+'ARR Model'!I$14</f>
        <v>198.224950113306</v>
      </c>
      <c r="J83" s="32" t="n">
        <f aca="false">I83*(1-$A83+Assumptions!$C$6)+'ARR Model'!J$14</f>
        <v>200.057797785438</v>
      </c>
      <c r="K83" s="32" t="n">
        <f aca="false">J83*(1-$A83+Assumptions!$C$6)+'ARR Model'!K$14</f>
        <v>202.749485278677</v>
      </c>
      <c r="L83" s="32" t="n">
        <f aca="false">K83*(1-$A83+Assumptions!$C$6)+'ARR Model'!L$14</f>
        <v>205.935770087756</v>
      </c>
      <c r="M83" s="32" t="n">
        <f aca="false">SUMPRODUCT((B83:K83+C83:L83)/2*Inputs!$B$36,'ARR Model'!$C$10:$L$10,DCF!$C$5:$L$5)+AVERAGE(K83,L83)*Inputs!$B$36*'ARR Model'!$L$10*(1+Assumptions!$C$14)/(Assumptions!$C$13-Assumptions!$C$14)*DCF!$L$5</f>
        <v>584.129204119855</v>
      </c>
      <c r="N83" s="28" t="n">
        <f aca="false">(M83+Inputs!$B$9-Inputs!$B$10)/Inputs!$B$6*Inputs!$B$7</f>
        <v>30.6204079282162</v>
      </c>
    </row>
    <row r="84" customFormat="false" ht="15" hidden="false" customHeight="false" outlineLevel="0" collapsed="false">
      <c r="A84" s="18" t="n">
        <v>0.27</v>
      </c>
      <c r="B84" s="31" t="n">
        <f aca="false">'ARR Model'!$B$17</f>
        <v>255.1</v>
      </c>
      <c r="C84" s="32" t="n">
        <f aca="false">B84*(1-$A84+Assumptions!$C$6)+'ARR Model'!C$14</f>
        <v>233.0154</v>
      </c>
      <c r="D84" s="32" t="n">
        <f aca="false">C84*(1-$A84+Assumptions!$C$6)+'ARR Model'!D$14</f>
        <v>217.076388</v>
      </c>
      <c r="E84" s="32" t="n">
        <f aca="false">D84*(1-$A84+Assumptions!$C$6)+'ARR Model'!E$14</f>
        <v>206.086198006667</v>
      </c>
      <c r="F84" s="32" t="n">
        <f aca="false">E84*(1-$A84+Assumptions!$C$6)+'ARR Model'!F$14</f>
        <v>199.049827408544</v>
      </c>
      <c r="G84" s="32" t="n">
        <f aca="false">F84*(1-$A84+Assumptions!$C$6)+'ARR Model'!G$14</f>
        <v>195.134812058685</v>
      </c>
      <c r="H84" s="32" t="n">
        <f aca="false">G84*(1-$A84+Assumptions!$C$6)+'ARR Model'!H$14</f>
        <v>193.640036411599</v>
      </c>
      <c r="I84" s="32" t="n">
        <f aca="false">H84*(1-$A84+Assumptions!$C$6)+'ARR Model'!I$14</f>
        <v>193.971104478702</v>
      </c>
      <c r="J84" s="32" t="n">
        <f aca="false">I84*(1-$A84+Assumptions!$C$6)+'ARR Model'!J$14</f>
        <v>195.621058070842</v>
      </c>
      <c r="K84" s="32" t="n">
        <f aca="false">J84*(1-$A84+Assumptions!$C$6)+'ARR Model'!K$14</f>
        <v>198.155437120927</v>
      </c>
      <c r="L84" s="32" t="n">
        <f aca="false">K84*(1-$A84+Assumptions!$C$6)+'ARR Model'!L$14</f>
        <v>201.200843653585</v>
      </c>
      <c r="M84" s="32" t="n">
        <f aca="false">SUMPRODUCT((B84:K84+C84:L84)/2*Inputs!$B$36,'ARR Model'!$C$10:$L$10,DCF!$C$5:$L$5)+AVERAGE(K84,L84)*Inputs!$B$36*'ARR Model'!$L$10*(1+Assumptions!$C$14)/(Assumptions!$C$13-Assumptions!$C$14)*DCF!$L$5</f>
        <v>573.397905980352</v>
      </c>
      <c r="N84" s="28" t="n">
        <f aca="false">(M84+Inputs!$B$9-Inputs!$B$10)/Inputs!$B$6*Inputs!$B$7</f>
        <v>30.0139497968856</v>
      </c>
    </row>
    <row r="85" customFormat="false" ht="15" hidden="false" customHeight="false" outlineLevel="0" collapsed="false">
      <c r="A85" s="18" t="n">
        <v>0.275</v>
      </c>
      <c r="B85" s="31" t="n">
        <f aca="false">'ARR Model'!$B$17</f>
        <v>255.1</v>
      </c>
      <c r="C85" s="32" t="n">
        <f aca="false">B85*(1-$A85+Assumptions!$C$6)+'ARR Model'!C$14</f>
        <v>231.7399</v>
      </c>
      <c r="D85" s="32" t="n">
        <f aca="false">C85*(1-$A85+Assumptions!$C$6)+'ARR Model'!D$14</f>
        <v>214.8845335</v>
      </c>
      <c r="E85" s="32" t="n">
        <f aca="false">D85*(1-$A85+Assumptions!$C$6)+'ARR Model'!E$14</f>
        <v>203.236373194167</v>
      </c>
      <c r="F85" s="32" t="n">
        <f aca="false">E85*(1-$A85+Assumptions!$C$6)+'ARR Model'!F$14</f>
        <v>195.725287444449</v>
      </c>
      <c r="G85" s="32" t="n">
        <f aca="false">F85*(1-$A85+Assumptions!$C$6)+'ARR Model'!G$14</f>
        <v>191.463308250545</v>
      </c>
      <c r="H85" s="32" t="n">
        <f aca="false">G85*(1-$A85+Assumptions!$C$6)+'ARR Model'!H$14</f>
        <v>189.708801785753</v>
      </c>
      <c r="I85" s="32" t="n">
        <f aca="false">H85*(1-$A85+Assumptions!$C$6)+'ARR Model'!I$14</f>
        <v>189.838260422838</v>
      </c>
      <c r="J85" s="32" t="n">
        <f aca="false">I85*(1-$A85+Assumptions!$C$6)+'ARR Model'!J$14</f>
        <v>191.324263083478</v>
      </c>
      <c r="K85" s="32" t="n">
        <f aca="false">J85*(1-$A85+Assumptions!$C$6)+'ARR Model'!K$14</f>
        <v>193.718411865745</v>
      </c>
      <c r="L85" s="32" t="n">
        <f aca="false">K85*(1-$A85+Assumptions!$C$6)+'ARR Model'!L$14</f>
        <v>196.638261137558</v>
      </c>
      <c r="M85" s="32" t="n">
        <f aca="false">SUMPRODUCT((B85:K85+C85:L85)/2*Inputs!$B$36,'ARR Model'!$C$10:$L$10,DCF!$C$5:$L$5)+AVERAGE(K85,L85)*Inputs!$B$36*'ARR Model'!$L$10*(1+Assumptions!$C$14)/(Assumptions!$C$13-Assumptions!$C$14)*DCF!$L$5</f>
        <v>562.983111989685</v>
      </c>
      <c r="N85" s="28" t="n">
        <f aca="false">(M85+Inputs!$B$9-Inputs!$B$10)/Inputs!$B$6*Inputs!$B$7</f>
        <v>29.4253782727638</v>
      </c>
    </row>
    <row r="86" customFormat="false" ht="15" hidden="false" customHeight="false" outlineLevel="0" collapsed="false">
      <c r="A86" s="18" t="n">
        <v>0.28</v>
      </c>
      <c r="B86" s="31" t="n">
        <f aca="false">'ARR Model'!$B$17</f>
        <v>255.1</v>
      </c>
      <c r="C86" s="32" t="n">
        <f aca="false">B86*(1-$A86+Assumptions!$C$6)+'ARR Model'!C$14</f>
        <v>230.4644</v>
      </c>
      <c r="D86" s="32" t="n">
        <f aca="false">C86*(1-$A86+Assumptions!$C$6)+'ARR Model'!D$14</f>
        <v>212.705434</v>
      </c>
      <c r="E86" s="32" t="n">
        <f aca="false">D86*(1-$A86+Assumptions!$C$6)+'ARR Model'!E$14</f>
        <v>200.418670926667</v>
      </c>
      <c r="F86" s="32" t="n">
        <f aca="false">E86*(1-$A86+Assumptions!$C$6)+'ARR Model'!F$14</f>
        <v>192.454943764478</v>
      </c>
      <c r="G86" s="32" t="n">
        <f aca="false">F86*(1-$A86+Assumptions!$C$6)+'ARR Model'!G$14</f>
        <v>187.868406869346</v>
      </c>
      <c r="H86" s="32" t="n">
        <f aca="false">G86*(1-$A86+Assumptions!$C$6)+'ARR Model'!H$14</f>
        <v>185.875564139541</v>
      </c>
      <c r="I86" s="32" t="n">
        <f aca="false">H86*(1-$A86+Assumptions!$C$6)+'ARR Model'!I$14</f>
        <v>185.823126296939</v>
      </c>
      <c r="J86" s="32" t="n">
        <f aca="false">I86*(1-$A86+Assumptions!$C$6)+'ARR Model'!J$14</f>
        <v>187.162964480645</v>
      </c>
      <c r="K86" s="32" t="n">
        <f aca="false">J86*(1-$A86+Assumptions!$C$6)+'ARR Model'!K$14</f>
        <v>189.432751668061</v>
      </c>
      <c r="L86" s="32" t="n">
        <f aca="false">K86*(1-$A86+Assumptions!$C$6)+'ARR Model'!L$14</f>
        <v>192.241140920083</v>
      </c>
      <c r="M86" s="32" t="n">
        <f aca="false">SUMPRODUCT((B86:K86+C86:L86)/2*Inputs!$B$36,'ARR Model'!$C$10:$L$10,DCF!$C$5:$L$5)+AVERAGE(K86,L86)*Inputs!$B$36*'ARR Model'!$L$10*(1+Assumptions!$C$14)/(Assumptions!$C$13-Assumptions!$C$14)*DCF!$L$5</f>
        <v>552.874012790302</v>
      </c>
      <c r="N86" s="28" t="n">
        <f aca="false">(M86+Inputs!$B$9-Inputs!$B$10)/Inputs!$B$6*Inputs!$B$7</f>
        <v>28.8540824863457</v>
      </c>
    </row>
    <row r="87" customFormat="false" ht="15" hidden="false" customHeight="false" outlineLevel="0" collapsed="false">
      <c r="A87" s="18" t="n">
        <v>0.285</v>
      </c>
      <c r="B87" s="31" t="n">
        <f aca="false">'ARR Model'!$B$17</f>
        <v>255.1</v>
      </c>
      <c r="C87" s="32" t="n">
        <f aca="false">B87*(1-$A87+Assumptions!$C$6)+'ARR Model'!C$14</f>
        <v>229.1889</v>
      </c>
      <c r="D87" s="32" t="n">
        <f aca="false">C87*(1-$A87+Assumptions!$C$6)+'ARR Model'!D$14</f>
        <v>210.5390895</v>
      </c>
      <c r="E87" s="32" t="n">
        <f aca="false">D87*(1-$A87+Assumptions!$C$6)+'ARR Model'!E$14</f>
        <v>197.632899879167</v>
      </c>
      <c r="F87" s="32" t="n">
        <f aca="false">E87*(1-$A87+Assumptions!$C$6)+'ARR Model'!F$14</f>
        <v>189.238162427082</v>
      </c>
      <c r="G87" s="32" t="n">
        <f aca="false">F87*(1-$A87+Assumptions!$C$6)+'ARR Model'!G$14</f>
        <v>184.348790987294</v>
      </c>
      <c r="H87" s="32" t="n">
        <f aca="false">G87*(1-$A87+Assumptions!$C$6)+'ARR Model'!H$14</f>
        <v>182.138127478963</v>
      </c>
      <c r="I87" s="32" t="n">
        <f aca="false">H87*(1-$A87+Assumptions!$C$6)+'ARR Model'!I$14</f>
        <v>181.922486331082</v>
      </c>
      <c r="J87" s="32" t="n">
        <f aca="false">I87*(1-$A87+Assumptions!$C$6)+'ARR Model'!J$14</f>
        <v>183.132840076304</v>
      </c>
      <c r="K87" s="32" t="n">
        <f aca="false">J87*(1-$A87+Assumptions!$C$6)+'ARR Model'!K$14</f>
        <v>185.292987944207</v>
      </c>
      <c r="L87" s="32" t="n">
        <f aca="false">K87*(1-$A87+Assumptions!$C$6)+'ARR Model'!L$14</f>
        <v>188.002865001278</v>
      </c>
      <c r="M87" s="32" t="n">
        <f aca="false">SUMPRODUCT((B87:K87+C87:L87)/2*Inputs!$B$36,'ARR Model'!$C$10:$L$10,DCF!$C$5:$L$5)+AVERAGE(K87,L87)*Inputs!$B$36*'ARR Model'!$L$10*(1+Assumptions!$C$14)/(Assumptions!$C$13-Assumptions!$C$14)*DCF!$L$5</f>
        <v>543.060164613361</v>
      </c>
      <c r="N87" s="28" t="n">
        <f aca="false">(M87+Inputs!$B$9-Inputs!$B$10)/Inputs!$B$6*Inputs!$B$7</f>
        <v>28.2994722286509</v>
      </c>
    </row>
    <row r="88" customFormat="false" ht="15" hidden="false" customHeight="false" outlineLevel="0" collapsed="false">
      <c r="A88" s="18" t="n">
        <v>0.29</v>
      </c>
      <c r="B88" s="31" t="n">
        <f aca="false">'ARR Model'!$B$17</f>
        <v>255.1</v>
      </c>
      <c r="C88" s="32" t="n">
        <f aca="false">B88*(1-$A88+Assumptions!$C$6)+'ARR Model'!C$14</f>
        <v>227.9134</v>
      </c>
      <c r="D88" s="32" t="n">
        <f aca="false">C88*(1-$A88+Assumptions!$C$6)+'ARR Model'!D$14</f>
        <v>208.3855</v>
      </c>
      <c r="E88" s="32" t="n">
        <f aca="false">D88*(1-$A88+Assumptions!$C$6)+'ARR Model'!E$14</f>
        <v>194.878868726667</v>
      </c>
      <c r="F88" s="32" t="n">
        <f aca="false">E88*(1-$A88+Assumptions!$C$6)+'ARR Model'!F$14</f>
        <v>186.074313317211</v>
      </c>
      <c r="G88" s="32" t="n">
        <f aca="false">F88*(1-$A88+Assumptions!$C$6)+'ARR Model'!G$14</f>
        <v>180.90315937836</v>
      </c>
      <c r="H88" s="32" t="n">
        <f aca="false">G88*(1-$A88+Assumptions!$C$6)+'ARR Model'!H$14</f>
        <v>178.494334552969</v>
      </c>
      <c r="I88" s="32" t="n">
        <f aca="false">H88*(1-$A88+Assumptions!$C$6)+'ARR Model'!I$14</f>
        <v>178.133199282152</v>
      </c>
      <c r="J88" s="32" t="n">
        <f aca="false">I88*(1-$A88+Assumptions!$C$6)+'ARR Model'!J$14</f>
        <v>179.229690875994</v>
      </c>
      <c r="K88" s="32" t="n">
        <f aca="false">J88*(1-$A88+Assumptions!$C$6)+'ARR Model'!K$14</f>
        <v>181.29383587558</v>
      </c>
      <c r="L88" s="32" t="n">
        <f aca="false">K88*(1-$A88+Assumptions!$C$6)+'ARR Model'!L$14</f>
        <v>183.917069927342</v>
      </c>
      <c r="M88" s="32" t="n">
        <f aca="false">SUMPRODUCT((B88:K88+C88:L88)/2*Inputs!$B$36,'ARR Model'!$C$10:$L$10,DCF!$C$5:$L$5)+AVERAGE(K88,L88)*Inputs!$B$36*'ARR Model'!$L$10*(1+Assumptions!$C$14)/(Assumptions!$C$13-Assumptions!$C$14)*DCF!$L$5</f>
        <v>533.531477996137</v>
      </c>
      <c r="N88" s="28" t="n">
        <f aca="false">(M88+Inputs!$B$9-Inputs!$B$10)/Inputs!$B$6*Inputs!$B$7</f>
        <v>27.7609773136093</v>
      </c>
    </row>
    <row r="89" customFormat="false" ht="15" hidden="false" customHeight="false" outlineLevel="0" collapsed="false">
      <c r="A89" s="18" t="n">
        <v>0.295</v>
      </c>
      <c r="B89" s="31" t="n">
        <f aca="false">'ARR Model'!$B$17</f>
        <v>255.1</v>
      </c>
      <c r="C89" s="32" t="n">
        <f aca="false">B89*(1-$A89+Assumptions!$C$6)+'ARR Model'!C$14</f>
        <v>226.6379</v>
      </c>
      <c r="D89" s="32" t="n">
        <f aca="false">C89*(1-$A89+Assumptions!$C$6)+'ARR Model'!D$14</f>
        <v>206.2446655</v>
      </c>
      <c r="E89" s="32" t="n">
        <f aca="false">D89*(1-$A89+Assumptions!$C$6)+'ARR Model'!E$14</f>
        <v>192.156386144167</v>
      </c>
      <c r="F89" s="32" t="n">
        <f aca="false">E89*(1-$A89+Assumptions!$C$6)+'ARR Model'!F$14</f>
        <v>182.962770146315</v>
      </c>
      <c r="G89" s="32" t="n">
        <f aca="false">F89*(1-$A89+Assumptions!$C$6)+'ARR Model'!G$14</f>
        <v>177.530226422621</v>
      </c>
      <c r="H89" s="32" t="n">
        <f aca="false">G89*(1-$A89+Assumptions!$C$6)+'ARR Model'!H$14</f>
        <v>174.942066385822</v>
      </c>
      <c r="I89" s="32" t="n">
        <f aca="false">H89*(1-$A89+Assumptions!$C$6)+'ARR Model'!I$14</f>
        <v>174.452197098177</v>
      </c>
      <c r="J89" s="32" t="n">
        <f aca="false">I89*(1-$A89+Assumptions!$C$6)+'ARR Model'!J$14</f>
        <v>175.449438165162</v>
      </c>
      <c r="K89" s="32" t="n">
        <f aca="false">J89*(1-$A89+Assumptions!$C$6)+'ARR Model'!K$14</f>
        <v>177.430189043197</v>
      </c>
      <c r="L89" s="32" t="n">
        <f aca="false">K89*(1-$A89+Assumptions!$C$6)+'ARR Model'!L$14</f>
        <v>179.977637984544</v>
      </c>
      <c r="M89" s="32" t="n">
        <f aca="false">SUMPRODUCT((B89:K89+C89:L89)/2*Inputs!$B$36,'ARR Model'!$C$10:$L$10,DCF!$C$5:$L$5)+AVERAGE(K89,L89)*Inputs!$B$36*'ARR Model'!$L$10*(1+Assumptions!$C$14)/(Assumptions!$C$13-Assumptions!$C$14)*DCF!$L$5</f>
        <v>524.278206799558</v>
      </c>
      <c r="N89" s="28" t="n">
        <f aca="false">(M89+Inputs!$B$9-Inputs!$B$10)/Inputs!$B$6*Inputs!$B$7</f>
        <v>27.2380469574099</v>
      </c>
    </row>
    <row r="90" customFormat="false" ht="15" hidden="false" customHeight="false" outlineLevel="0" collapsed="false">
      <c r="A90" s="18" t="n">
        <v>0.3</v>
      </c>
      <c r="B90" s="31" t="n">
        <f aca="false">'ARR Model'!$B$17</f>
        <v>255.1</v>
      </c>
      <c r="C90" s="32" t="n">
        <f aca="false">B90*(1-$A90+Assumptions!$C$6)+'ARR Model'!C$14</f>
        <v>225.3624</v>
      </c>
      <c r="D90" s="32" t="n">
        <f aca="false">C90*(1-$A90+Assumptions!$C$6)+'ARR Model'!D$14</f>
        <v>204.116586</v>
      </c>
      <c r="E90" s="32" t="n">
        <f aca="false">D90*(1-$A90+Assumptions!$C$6)+'ARR Model'!E$14</f>
        <v>189.465260806667</v>
      </c>
      <c r="F90" s="32" t="n">
        <f aca="false">E90*(1-$A90+Assumptions!$C$6)+'ARR Model'!F$14</f>
        <v>179.902910452344</v>
      </c>
      <c r="G90" s="32" t="n">
        <f aca="false">F90*(1-$A90+Assumptions!$C$6)+'ARR Model'!G$14</f>
        <v>174.228722010592</v>
      </c>
      <c r="H90" s="32" t="n">
        <f aca="false">G90*(1-$A90+Assumptions!$C$6)+'ARR Model'!H$14</f>
        <v>171.479241812326</v>
      </c>
      <c r="I90" s="32" t="n">
        <f aca="false">H90*(1-$A90+Assumptions!$C$6)+'ARR Model'!I$14</f>
        <v>170.876483598921</v>
      </c>
      <c r="J90" s="32" t="n">
        <f aca="false">I90*(1-$A90+Assumptions!$C$6)+'ARR Model'!J$14</f>
        <v>171.788120650252</v>
      </c>
      <c r="K90" s="32" t="n">
        <f aca="false">J90*(1-$A90+Assumptions!$C$6)+'ARR Model'!K$14</f>
        <v>173.697114190742</v>
      </c>
      <c r="L90" s="32" t="n">
        <f aca="false">K90*(1-$A90+Assumptions!$C$6)+'ARR Model'!L$14</f>
        <v>176.178688654412</v>
      </c>
      <c r="M90" s="32" t="n">
        <f aca="false">SUMPRODUCT((B90:K90+C90:L90)/2*Inputs!$B$36,'ARR Model'!$C$10:$L$10,DCF!$C$5:$L$5)+AVERAGE(K90,L90)*Inputs!$B$36*'ARR Model'!$L$10*(1+Assumptions!$C$14)/(Assumptions!$C$13-Assumptions!$C$14)*DCF!$L$5</f>
        <v>515.290937519369</v>
      </c>
      <c r="N90" s="28" t="n">
        <f aca="false">(M90+Inputs!$B$9-Inputs!$B$10)/Inputs!$B$6*Inputs!$B$7</f>
        <v>26.7301491744413</v>
      </c>
    </row>
    <row r="91" customFormat="false" ht="15" hidden="false" customHeight="false" outlineLevel="0" collapsed="false">
      <c r="A91" s="18" t="n">
        <v>0.305</v>
      </c>
      <c r="B91" s="31" t="n">
        <f aca="false">'ARR Model'!$B$17</f>
        <v>255.1</v>
      </c>
      <c r="C91" s="32" t="n">
        <f aca="false">B91*(1-$A91+Assumptions!$C$6)+'ARR Model'!C$14</f>
        <v>224.0869</v>
      </c>
      <c r="D91" s="32" t="n">
        <f aca="false">C91*(1-$A91+Assumptions!$C$6)+'ARR Model'!D$14</f>
        <v>202.0012615</v>
      </c>
      <c r="E91" s="32" t="n">
        <f aca="false">D91*(1-$A91+Assumptions!$C$6)+'ARR Model'!E$14</f>
        <v>186.805301389167</v>
      </c>
      <c r="F91" s="32" t="n">
        <f aca="false">E91*(1-$A91+Assumptions!$C$6)+'ARR Model'!F$14</f>
        <v>176.894115599749</v>
      </c>
      <c r="G91" s="32" t="n">
        <f aca="false">F91*(1-$A91+Assumptions!$C$6)+'ARR Model'!G$14</f>
        <v>170.997391447569</v>
      </c>
      <c r="H91" s="32" t="n">
        <f aca="false">G91*(1-$A91+Assumptions!$C$6)+'ARR Model'!H$14</f>
        <v>168.10381701593</v>
      </c>
      <c r="I91" s="32" t="n">
        <f aca="false">H91*(1-$A91+Assumptions!$C$6)+'ARR Model'!I$14</f>
        <v>167.403133172653</v>
      </c>
      <c r="J91" s="32" t="n">
        <f aca="false">I91*(1-$A91+Assumptions!$C$6)+'ARR Model'!J$14</f>
        <v>168.241891651899</v>
      </c>
      <c r="K91" s="32" t="n">
        <f aca="false">J91*(1-$A91+Assumptions!$C$6)+'ARR Model'!K$14</f>
        <v>170.089846113767</v>
      </c>
      <c r="L91" s="32" t="n">
        <f aca="false">K91*(1-$A91+Assumptions!$C$6)+'ARR Model'!L$14</f>
        <v>172.514570323803</v>
      </c>
      <c r="M91" s="32" t="n">
        <f aca="false">SUMPRODUCT((B91:K91+C91:L91)/2*Inputs!$B$36,'ARR Model'!$C$10:$L$10,DCF!$C$5:$L$5)+AVERAGE(K91,L91)*Inputs!$B$36*'ARR Model'!$L$10*(1+Assumptions!$C$14)/(Assumptions!$C$13-Assumptions!$C$14)*DCF!$L$5</f>
        <v>506.560578884512</v>
      </c>
      <c r="N91" s="28" t="n">
        <f aca="false">(M91+Inputs!$B$9-Inputs!$B$10)/Inputs!$B$6*Inputs!$B$7</f>
        <v>26.2367701894654</v>
      </c>
    </row>
    <row r="92" customFormat="false" ht="15" hidden="false" customHeight="false" outlineLevel="0" collapsed="false">
      <c r="A92" s="18" t="n">
        <v>0.31</v>
      </c>
      <c r="B92" s="31" t="n">
        <f aca="false">'ARR Model'!$B$17</f>
        <v>255.1</v>
      </c>
      <c r="C92" s="32" t="n">
        <f aca="false">B92*(1-$A92+Assumptions!$C$6)+'ARR Model'!C$14</f>
        <v>222.8114</v>
      </c>
      <c r="D92" s="32" t="n">
        <f aca="false">C92*(1-$A92+Assumptions!$C$6)+'ARR Model'!D$14</f>
        <v>199.898692</v>
      </c>
      <c r="E92" s="32" t="n">
        <f aca="false">D92*(1-$A92+Assumptions!$C$6)+'ARR Model'!E$14</f>
        <v>184.176316566667</v>
      </c>
      <c r="F92" s="32" t="n">
        <f aca="false">E92*(1-$A92+Assumptions!$C$6)+'ARR Model'!F$14</f>
        <v>173.935770779478</v>
      </c>
      <c r="G92" s="32" t="n">
        <f aca="false">F92*(1-$A92+Assumptions!$C$6)+'ARR Model'!G$14</f>
        <v>167.834995357961</v>
      </c>
      <c r="H92" s="32" t="n">
        <f aca="false">G92*(1-$A92+Assumptions!$C$6)+'ARR Model'!H$14</f>
        <v>164.813785069694</v>
      </c>
      <c r="I92" s="32" t="n">
        <f aca="false">H92*(1-$A92+Assumptions!$C$6)+'ARR Model'!I$14</f>
        <v>164.029289488972</v>
      </c>
      <c r="J92" s="32" t="n">
        <f aca="false">I92*(1-$A92+Assumptions!$C$6)+'ARR Model'!J$14</f>
        <v>164.807016349601</v>
      </c>
      <c r="K92" s="32" t="n">
        <f aca="false">J92*(1-$A92+Assumptions!$C$6)+'ARR Model'!K$14</f>
        <v>166.603782672738</v>
      </c>
      <c r="L92" s="32" t="n">
        <f aca="false">K92*(1-$A92+Assumptions!$C$6)+'ARR Model'!L$14</f>
        <v>168.979852243642</v>
      </c>
      <c r="M92" s="32" t="n">
        <f aca="false">SUMPRODUCT((B92:K92+C92:L92)/2*Inputs!$B$36,'ARR Model'!$C$10:$L$10,DCF!$C$5:$L$5)+AVERAGE(K92,L92)*Inputs!$B$36*'ARR Model'!$L$10*(1+Assumptions!$C$14)/(Assumptions!$C$13-Assumptions!$C$14)*DCF!$L$5</f>
        <v>498.078351736443</v>
      </c>
      <c r="N92" s="28" t="n">
        <f aca="false">(M92+Inputs!$B$9-Inputs!$B$10)/Inputs!$B$6*Inputs!$B$7</f>
        <v>25.7574138656667</v>
      </c>
    </row>
    <row r="93" customFormat="false" ht="15" hidden="false" customHeight="false" outlineLevel="0" collapsed="false">
      <c r="A93" s="18" t="n">
        <v>0.315</v>
      </c>
      <c r="B93" s="31" t="n">
        <f aca="false">'ARR Model'!$B$17</f>
        <v>255.1</v>
      </c>
      <c r="C93" s="32" t="n">
        <f aca="false">B93*(1-$A93+Assumptions!$C$6)+'ARR Model'!C$14</f>
        <v>221.5359</v>
      </c>
      <c r="D93" s="32" t="n">
        <f aca="false">C93*(1-$A93+Assumptions!$C$6)+'ARR Model'!D$14</f>
        <v>197.8088775</v>
      </c>
      <c r="E93" s="32" t="n">
        <f aca="false">D93*(1-$A93+Assumptions!$C$6)+'ARR Model'!E$14</f>
        <v>181.578115014167</v>
      </c>
      <c r="F93" s="32" t="n">
        <f aca="false">E93*(1-$A93+Assumptions!$C$6)+'ARR Model'!F$14</f>
        <v>171.027265008982</v>
      </c>
      <c r="G93" s="32" t="n">
        <f aca="false">F93*(1-$A93+Assumptions!$C$6)+'ARR Model'!G$14</f>
        <v>164.740309589635</v>
      </c>
      <c r="H93" s="32" t="n">
        <f aca="false">G93*(1-$A93+Assumptions!$C$6)+'ARR Model'!H$14</f>
        <v>161.607175480135</v>
      </c>
      <c r="I93" s="32" t="n">
        <f aca="false">H93*(1-$A93+Assumptions!$C$6)+'ARR Model'!I$14</f>
        <v>160.75216422761</v>
      </c>
      <c r="J93" s="32" t="n">
        <f aca="false">I93*(1-$A93+Assumptions!$C$6)+'ARR Model'!J$14</f>
        <v>161.479869077215</v>
      </c>
      <c r="K93" s="32" t="n">
        <f aca="false">J93*(1-$A93+Assumptions!$C$6)+'ARR Model'!K$14</f>
        <v>163.234479927615</v>
      </c>
      <c r="L93" s="32" t="n">
        <f aca="false">K93*(1-$A93+Assumptions!$C$6)+'ARR Model'!L$14</f>
        <v>165.569316730259</v>
      </c>
      <c r="M93" s="32" t="n">
        <f aca="false">SUMPRODUCT((B93:K93+C93:L93)/2*Inputs!$B$36,'ARR Model'!$C$10:$L$10,DCF!$C$5:$L$5)+AVERAGE(K93,L93)*Inputs!$B$36*'ARR Model'!$L$10*(1+Assumptions!$C$14)/(Assumptions!$C$13-Assumptions!$C$14)*DCF!$L$5</f>
        <v>489.835779183176</v>
      </c>
      <c r="N93" s="28" t="n">
        <f aca="false">(M93+Inputs!$B$9-Inputs!$B$10)/Inputs!$B$6*Inputs!$B$7</f>
        <v>25.2916011482276</v>
      </c>
    </row>
    <row r="94" customFormat="false" ht="15" hidden="false" customHeight="false" outlineLevel="0" collapsed="false">
      <c r="A94" s="18" t="n">
        <v>0.32</v>
      </c>
      <c r="B94" s="31" t="n">
        <f aca="false">'ARR Model'!$B$17</f>
        <v>255.1</v>
      </c>
      <c r="C94" s="32" t="n">
        <f aca="false">B94*(1-$A94+Assumptions!$C$6)+'ARR Model'!C$14</f>
        <v>220.2604</v>
      </c>
      <c r="D94" s="32" t="n">
        <f aca="false">C94*(1-$A94+Assumptions!$C$6)+'ARR Model'!D$14</f>
        <v>195.731818</v>
      </c>
      <c r="E94" s="32" t="n">
        <f aca="false">D94*(1-$A94+Assumptions!$C$6)+'ARR Model'!E$14</f>
        <v>179.010505406667</v>
      </c>
      <c r="F94" s="32" t="n">
        <f aca="false">E94*(1-$A94+Assumptions!$C$6)+'ARR Model'!F$14</f>
        <v>168.167991132211</v>
      </c>
      <c r="G94" s="32" t="n">
        <f aca="false">F94*(1-$A94+Assumptions!$C$6)+'ARR Model'!G$14</f>
        <v>161.712125118244</v>
      </c>
      <c r="H94" s="32" t="n">
        <f aca="false">G94*(1-$A94+Assumptions!$C$6)+'ARR Model'!H$14</f>
        <v>158.48205373393</v>
      </c>
      <c r="I94" s="32" t="n">
        <f aca="false">H94*(1-$A94+Assumptions!$C$6)+'ARR Model'!I$14</f>
        <v>157.569035823093</v>
      </c>
      <c r="J94" s="32" t="n">
        <f aca="false">I94*(1-$A94+Assumptions!$C$6)+'ARR Model'!J$14</f>
        <v>158.256930668644</v>
      </c>
      <c r="K94" s="32" t="n">
        <f aca="false">J94*(1-$A94+Assumptions!$C$6)+'ARR Model'!K$14</f>
        <v>159.977647391715</v>
      </c>
      <c r="L94" s="32" t="n">
        <f aca="false">K94*(1-$A94+Assumptions!$C$6)+'ARR Model'!L$14</f>
        <v>162.277951603337</v>
      </c>
      <c r="M94" s="32" t="n">
        <f aca="false">SUMPRODUCT((B94:K94+C94:L94)/2*Inputs!$B$36,'ARR Model'!$C$10:$L$10,DCF!$C$5:$L$5)+AVERAGE(K94,L94)*Inputs!$B$36*'ARR Model'!$L$10*(1+Assumptions!$C$14)/(Assumptions!$C$13-Assumptions!$C$14)*DCF!$L$5</f>
        <v>481.824677021976</v>
      </c>
      <c r="N94" s="28" t="n">
        <f aca="false">(M94+Inputs!$B$9-Inputs!$B$10)/Inputs!$B$6*Inputs!$B$7</f>
        <v>24.8388695230856</v>
      </c>
    </row>
    <row r="95" customFormat="false" ht="15" hidden="false" customHeight="false" outlineLevel="0" collapsed="false">
      <c r="A95" s="18" t="n">
        <v>0.325</v>
      </c>
      <c r="B95" s="31" t="n">
        <f aca="false">'ARR Model'!$B$17</f>
        <v>255.1</v>
      </c>
      <c r="C95" s="32" t="n">
        <f aca="false">B95*(1-$A95+Assumptions!$C$6)+'ARR Model'!C$14</f>
        <v>218.9849</v>
      </c>
      <c r="D95" s="32" t="n">
        <f aca="false">C95*(1-$A95+Assumptions!$C$6)+'ARR Model'!D$14</f>
        <v>193.6675135</v>
      </c>
      <c r="E95" s="32" t="n">
        <f aca="false">D95*(1-$A95+Assumptions!$C$6)+'ARR Model'!E$14</f>
        <v>176.473296419167</v>
      </c>
      <c r="F95" s="32" t="n">
        <f aca="false">E95*(1-$A95+Assumptions!$C$6)+'ARR Model'!F$14</f>
        <v>165.357345819615</v>
      </c>
      <c r="G95" s="32" t="n">
        <f aca="false">F95*(1-$A95+Assumptions!$C$6)+'ARR Model'!G$14</f>
        <v>158.749247951573</v>
      </c>
      <c r="H95" s="32" t="n">
        <f aca="false">G95*(1-$A95+Assumptions!$C$6)+'ARR Model'!H$14</f>
        <v>155.436520847502</v>
      </c>
      <c r="I95" s="32" t="n">
        <f aca="false">H95*(1-$A95+Assumptions!$C$6)+'ARR Model'!I$14</f>
        <v>154.477248225171</v>
      </c>
      <c r="J95" s="32" t="n">
        <f aca="false">I95*(1-$A95+Assumptions!$C$6)+'ARR Model'!J$14</f>
        <v>155.134785853097</v>
      </c>
      <c r="K95" s="32" t="n">
        <f aca="false">J95*(1-$A95+Assumptions!$C$6)+'ARR Model'!K$14</f>
        <v>156.829143402634</v>
      </c>
      <c r="L95" s="32" t="n">
        <f aca="false">K95*(1-$A95+Assumptions!$C$6)+'ARR Model'!L$14</f>
        <v>159.100942854622</v>
      </c>
      <c r="M95" s="32" t="n">
        <f aca="false">SUMPRODUCT((B95:K95+C95:L95)/2*Inputs!$B$36,'ARR Model'!$C$10:$L$10,DCF!$C$5:$L$5)+AVERAGE(K95,L95)*Inputs!$B$36*'ARR Model'!$L$10*(1+Assumptions!$C$14)/(Assumptions!$C$13-Assumptions!$C$14)*DCF!$L$5</f>
        <v>474.037144424718</v>
      </c>
      <c r="N95" s="28" t="n">
        <f aca="false">(M95+Inputs!$B$9-Inputs!$B$10)/Inputs!$B$6*Inputs!$B$7</f>
        <v>24.3987724905352</v>
      </c>
    </row>
    <row r="96" customFormat="false" ht="15" hidden="false" customHeight="false" outlineLevel="0" collapsed="false">
      <c r="A96" s="18" t="n">
        <v>0.33</v>
      </c>
      <c r="B96" s="31" t="n">
        <f aca="false">'ARR Model'!$B$17</f>
        <v>255.1</v>
      </c>
      <c r="C96" s="32" t="n">
        <f aca="false">B96*(1-$A96+Assumptions!$C$6)+'ARR Model'!C$14</f>
        <v>217.7094</v>
      </c>
      <c r="D96" s="32" t="n">
        <f aca="false">C96*(1-$A96+Assumptions!$C$6)+'ARR Model'!D$14</f>
        <v>191.615964</v>
      </c>
      <c r="E96" s="32" t="n">
        <f aca="false">D96*(1-$A96+Assumptions!$C$6)+'ARR Model'!E$14</f>
        <v>173.966296726667</v>
      </c>
      <c r="F96" s="32" t="n">
        <f aca="false">E96*(1-$A96+Assumptions!$C$6)+'ARR Model'!F$14</f>
        <v>162.594729568144</v>
      </c>
      <c r="G96" s="32" t="n">
        <f aca="false">F96*(1-$A96+Assumptions!$C$6)+'ARR Model'!G$14</f>
        <v>155.850499033872</v>
      </c>
      <c r="H96" s="32" t="n">
        <f aca="false">G96*(1-$A96+Assumptions!$C$6)+'ARR Model'!H$14</f>
        <v>152.468712919468</v>
      </c>
      <c r="I96" s="32" t="n">
        <f aca="false">H96*(1-$A96+Assumptions!$C$6)+'ARR Model'!I$14</f>
        <v>151.474209674908</v>
      </c>
      <c r="J96" s="32" t="n">
        <f aca="false">I96*(1-$A96+Assumptions!$C$6)+'ARR Model'!J$14</f>
        <v>152.110120699274</v>
      </c>
      <c r="K96" s="32" t="n">
        <f aca="false">J96*(1-$A96+Assumptions!$C$6)+'ARR Model'!K$14</f>
        <v>153.784970608001</v>
      </c>
      <c r="L96" s="32" t="n">
        <f aca="false">K96*(1-$A96+Assumptions!$C$6)+'ARR Model'!L$14</f>
        <v>156.033667541634</v>
      </c>
      <c r="M96" s="32" t="n">
        <f aca="false">SUMPRODUCT((B96:K96+C96:L96)/2*Inputs!$B$36,'ARR Model'!$C$10:$L$10,DCF!$C$5:$L$5)+AVERAGE(K96,L96)*Inputs!$B$36*'ARR Model'!$L$10*(1+Assumptions!$C$14)/(Assumptions!$C$13-Assumptions!$C$14)*DCF!$L$5</f>
        <v>466.46555488002</v>
      </c>
      <c r="N96" s="28" t="n">
        <f aca="false">(M96+Inputs!$B$9-Inputs!$B$10)/Inputs!$B$6*Inputs!$B$7</f>
        <v>23.9708790533398</v>
      </c>
    </row>
    <row r="97" customFormat="false" ht="15" hidden="false" customHeight="false" outlineLevel="0" collapsed="false">
      <c r="A97" s="18" t="n">
        <v>0.335</v>
      </c>
      <c r="B97" s="31" t="n">
        <f aca="false">'ARR Model'!$B$17</f>
        <v>255.1</v>
      </c>
      <c r="C97" s="32" t="n">
        <f aca="false">B97*(1-$A97+Assumptions!$C$6)+'ARR Model'!C$14</f>
        <v>216.4339</v>
      </c>
      <c r="D97" s="32" t="n">
        <f aca="false">C97*(1-$A97+Assumptions!$C$6)+'ARR Model'!D$14</f>
        <v>189.5771695</v>
      </c>
      <c r="E97" s="32" t="n">
        <f aca="false">D97*(1-$A97+Assumptions!$C$6)+'ARR Model'!E$14</f>
        <v>171.489315004167</v>
      </c>
      <c r="F97" s="32" t="n">
        <f aca="false">E97*(1-$A97+Assumptions!$C$6)+'ARR Model'!F$14</f>
        <v>159.879546701249</v>
      </c>
      <c r="G97" s="32" t="n">
        <f aca="false">F97*(1-$A97+Assumptions!$C$6)+'ARR Model'!G$14</f>
        <v>153.014714150194</v>
      </c>
      <c r="H97" s="32" t="n">
        <f aca="false">G97*(1-$A97+Assumptions!$C$6)+'ARR Model'!H$14</f>
        <v>149.576800685959</v>
      </c>
      <c r="I97" s="32" t="n">
        <f aca="false">H97*(1-$A97+Assumptions!$C$6)+'ARR Model'!I$14</f>
        <v>148.557391496346</v>
      </c>
      <c r="J97" s="32" t="n">
        <f aca="false">I97*(1-$A97+Assumptions!$C$6)+'ARR Model'!J$14</f>
        <v>149.179720107871</v>
      </c>
      <c r="K97" s="32" t="n">
        <f aca="false">J97*(1-$A97+Assumptions!$C$6)+'ARR Model'!K$14</f>
        <v>150.841271563909</v>
      </c>
      <c r="L97" s="32" t="n">
        <f aca="false">K97*(1-$A97+Assumptions!$C$6)+'ARR Model'!L$14</f>
        <v>153.071686900746</v>
      </c>
      <c r="M97" s="32" t="n">
        <f aca="false">SUMPRODUCT((B97:K97+C97:L97)/2*Inputs!$B$36,'ARR Model'!$C$10:$L$10,DCF!$C$5:$L$5)+AVERAGE(K97,L97)*Inputs!$B$36*'ARR Model'!$L$10*(1+Assumptions!$C$14)/(Assumptions!$C$13-Assumptions!$C$14)*DCF!$L$5</f>
        <v>459.102547386367</v>
      </c>
      <c r="N97" s="28" t="n">
        <f aca="false">(M97+Inputs!$B$9-Inputs!$B$10)/Inputs!$B$6*Inputs!$B$7</f>
        <v>23.5547732190291</v>
      </c>
    </row>
    <row r="98" customFormat="false" ht="15" hidden="false" customHeight="false" outlineLevel="0" collapsed="false">
      <c r="A98" s="18" t="n">
        <v>0.34</v>
      </c>
      <c r="B98" s="31" t="n">
        <f aca="false">'ARR Model'!$B$17</f>
        <v>255.1</v>
      </c>
      <c r="C98" s="32" t="n">
        <f aca="false">B98*(1-$A98+Assumptions!$C$6)+'ARR Model'!C$14</f>
        <v>215.1584</v>
      </c>
      <c r="D98" s="32" t="n">
        <f aca="false">C98*(1-$A98+Assumptions!$C$6)+'ARR Model'!D$14</f>
        <v>187.55113</v>
      </c>
      <c r="E98" s="32" t="n">
        <f aca="false">D98*(1-$A98+Assumptions!$C$6)+'ARR Model'!E$14</f>
        <v>169.042159926667</v>
      </c>
      <c r="F98" s="32" t="n">
        <f aca="false">E98*(1-$A98+Assumptions!$C$6)+'ARR Model'!F$14</f>
        <v>157.211205368878</v>
      </c>
      <c r="G98" s="32" t="n">
        <f aca="false">F98*(1-$A98+Assumptions!$C$6)+'ARR Model'!G$14</f>
        <v>150.240743830733</v>
      </c>
      <c r="H98" s="32" t="n">
        <f aca="false">G98*(1-$A98+Assumptions!$C$6)+'ARR Model'!H$14</f>
        <v>146.758989078807</v>
      </c>
      <c r="I98" s="32" t="n">
        <f aca="false">H98*(1-$A98+Assumptions!$C$6)+'ARR Model'!I$14</f>
        <v>145.724326903624</v>
      </c>
      <c r="J98" s="32" t="n">
        <f aca="false">I98*(1-$A98+Assumptions!$C$6)+'ARR Model'!J$14</f>
        <v>146.340465351775</v>
      </c>
      <c r="K98" s="32" t="n">
        <f aca="false">J98*(1-$A98+Assumptions!$C$6)+'ARR Model'!K$14</f>
        <v>147.994324443859</v>
      </c>
      <c r="L98" s="32" t="n">
        <f aca="false">K98*(1-$A98+Assumptions!$C$6)+'ARR Model'!L$14</f>
        <v>150.210739674089</v>
      </c>
      <c r="M98" s="32" t="n">
        <f aca="false">SUMPRODUCT((B98:K98+C98:L98)/2*Inputs!$B$36,'ARR Model'!$C$10:$L$10,DCF!$C$5:$L$5)+AVERAGE(K98,L98)*Inputs!$B$36*'ARR Model'!$L$10*(1+Assumptions!$C$14)/(Assumptions!$C$13-Assumptions!$C$14)*DCF!$L$5</f>
        <v>451.941017890545</v>
      </c>
      <c r="N98" s="28" t="n">
        <f aca="false">(M98+Inputs!$B$9-Inputs!$B$10)/Inputs!$B$6*Inputs!$B$7</f>
        <v>23.1500535160588</v>
      </c>
    </row>
    <row r="99" customFormat="false" ht="15" hidden="false" customHeight="false" outlineLevel="0" collapsed="false">
      <c r="A99" s="18" t="n">
        <v>0.345</v>
      </c>
      <c r="B99" s="31" t="n">
        <f aca="false">'ARR Model'!$B$17</f>
        <v>255.1</v>
      </c>
      <c r="C99" s="32" t="n">
        <f aca="false">B99*(1-$A99+Assumptions!$C$6)+'ARR Model'!C$14</f>
        <v>213.8829</v>
      </c>
      <c r="D99" s="32" t="n">
        <f aca="false">C99*(1-$A99+Assumptions!$C$6)+'ARR Model'!D$14</f>
        <v>185.5378455</v>
      </c>
      <c r="E99" s="32" t="n">
        <f aca="false">D99*(1-$A99+Assumptions!$C$6)+'ARR Model'!E$14</f>
        <v>166.624640169167</v>
      </c>
      <c r="F99" s="32" t="n">
        <f aca="false">E99*(1-$A99+Assumptions!$C$6)+'ARR Model'!F$14</f>
        <v>154.589117547482</v>
      </c>
      <c r="G99" s="32" t="n">
        <f aca="false">F99*(1-$A99+Assumptions!$C$6)+'ARR Model'!G$14</f>
        <v>147.527453255163</v>
      </c>
      <c r="H99" s="32" t="n">
        <f aca="false">G99*(1-$A99+Assumptions!$C$6)+'ARR Model'!H$14</f>
        <v>144.013516786609</v>
      </c>
      <c r="I99" s="32" t="n">
        <f aca="false">H99*(1-$A99+Assumptions!$C$6)+'ARR Model'!I$14</f>
        <v>142.972609823464</v>
      </c>
      <c r="J99" s="32" t="n">
        <f aca="false">I99*(1-$A99+Assumptions!$C$6)+'ARR Model'!J$14</f>
        <v>143.58933166334</v>
      </c>
      <c r="K99" s="32" t="n">
        <f aca="false">J99*(1-$A99+Assumptions!$C$6)+'ARR Model'!K$14</f>
        <v>145.2405388561</v>
      </c>
      <c r="L99" s="32" t="n">
        <f aca="false">K99*(1-$A99+Assumptions!$C$6)+'ARR Model'!L$14</f>
        <v>147.446735644867</v>
      </c>
      <c r="M99" s="32" t="n">
        <f aca="false">SUMPRODUCT((B99:K99+C99:L99)/2*Inputs!$B$36,'ARR Model'!$C$10:$L$10,DCF!$C$5:$L$5)+AVERAGE(K99,L99)*Inputs!$B$36*'ARR Model'!$L$10*(1+Assumptions!$C$14)/(Assumptions!$C$13-Assumptions!$C$14)*DCF!$L$5</f>
        <v>444.974110965793</v>
      </c>
      <c r="N99" s="28" t="n">
        <f aca="false">(M99+Inputs!$B$9-Inputs!$B$10)/Inputs!$B$6*Inputs!$B$7</f>
        <v>22.7563325235178</v>
      </c>
    </row>
    <row r="100" customFormat="false" ht="15" hidden="false" customHeight="false" outlineLevel="0" collapsed="false">
      <c r="A100" s="18" t="n">
        <v>0.35</v>
      </c>
      <c r="B100" s="31" t="n">
        <f aca="false">'ARR Model'!$B$17</f>
        <v>255.1</v>
      </c>
      <c r="C100" s="32" t="n">
        <f aca="false">B100*(1-$A100+Assumptions!$C$6)+'ARR Model'!C$14</f>
        <v>212.6074</v>
      </c>
      <c r="D100" s="32" t="n">
        <f aca="false">C100*(1-$A100+Assumptions!$C$6)+'ARR Model'!D$14</f>
        <v>183.537316</v>
      </c>
      <c r="E100" s="32" t="n">
        <f aca="false">D100*(1-$A100+Assumptions!$C$6)+'ARR Model'!E$14</f>
        <v>164.236564406667</v>
      </c>
      <c r="F100" s="32" t="n">
        <f aca="false">E100*(1-$A100+Assumptions!$C$6)+'ARR Model'!F$14</f>
        <v>152.012699040011</v>
      </c>
      <c r="G100" s="32" t="n">
        <f aca="false">F100*(1-$A100+Assumptions!$C$6)+'ARR Model'!G$14</f>
        <v>144.873722156972</v>
      </c>
      <c r="H100" s="32" t="n">
        <f aca="false">G100*(1-$A100+Assumptions!$C$6)+'ARR Model'!H$14</f>
        <v>141.338655818653</v>
      </c>
      <c r="I100" s="32" t="n">
        <f aca="false">H100*(1-$A100+Assumptions!$C$6)+'ARR Model'!I$14</f>
        <v>140.299893732924</v>
      </c>
      <c r="J100" s="32" t="n">
        <f aca="false">I100*(1-$A100+Assumptions!$C$6)+'ARR Model'!J$14</f>
        <v>140.923385868128</v>
      </c>
      <c r="K100" s="32" t="n">
        <f aca="false">J100*(1-$A100+Assumptions!$C$6)+'ARR Model'!K$14</f>
        <v>142.576451767278</v>
      </c>
      <c r="L100" s="32" t="n">
        <f aca="false">K100*(1-$A100+Assumptions!$C$6)+'ARR Model'!L$14</f>
        <v>144.775749375747</v>
      </c>
      <c r="M100" s="32" t="n">
        <f aca="false">SUMPRODUCT((B100:K100+C100:L100)/2*Inputs!$B$36,'ARR Model'!$C$10:$L$10,DCF!$C$5:$L$5)+AVERAGE(K100,L100)*Inputs!$B$36*'ARR Model'!$L$10*(1+Assumptions!$C$14)/(Assumptions!$C$13-Assumptions!$C$14)*DCF!$L$5</f>
        <v>438.195211724183</v>
      </c>
      <c r="N100" s="28" t="n">
        <f aca="false">(M100+Inputs!$B$9-Inputs!$B$10)/Inputs!$B$6*Inputs!$B$7</f>
        <v>22.3732364140721</v>
      </c>
    </row>
    <row r="101" customFormat="false" ht="15" hidden="false" customHeight="false" outlineLevel="0" collapsed="false">
      <c r="A101" s="18" t="n">
        <v>0.355</v>
      </c>
      <c r="B101" s="31" t="n">
        <f aca="false">'ARR Model'!$B$17</f>
        <v>255.1</v>
      </c>
      <c r="C101" s="32" t="n">
        <f aca="false">B101*(1-$A101+Assumptions!$C$6)+'ARR Model'!C$14</f>
        <v>211.3319</v>
      </c>
      <c r="D101" s="32" t="n">
        <f aca="false">C101*(1-$A101+Assumptions!$C$6)+'ARR Model'!D$14</f>
        <v>181.5495415</v>
      </c>
      <c r="E101" s="32" t="n">
        <f aca="false">D101*(1-$A101+Assumptions!$C$6)+'ARR Model'!E$14</f>
        <v>161.877741314167</v>
      </c>
      <c r="F101" s="32" t="n">
        <f aca="false">E101*(1-$A101+Assumptions!$C$6)+'ARR Model'!F$14</f>
        <v>149.481369475915</v>
      </c>
      <c r="G101" s="32" t="n">
        <f aca="false">F101*(1-$A101+Assumptions!$C$6)+'ARR Model'!G$14</f>
        <v>142.278444727802</v>
      </c>
      <c r="H101" s="32" t="n">
        <f aca="false">G101*(1-$A101+Assumptions!$C$6)+'ARR Model'!H$14</f>
        <v>138.732711071721</v>
      </c>
      <c r="I101" s="32" t="n">
        <f aca="false">H101*(1-$A101+Assumptions!$C$6)+'ARR Model'!I$14</f>
        <v>137.703890512304</v>
      </c>
      <c r="J101" s="32" t="n">
        <f aca="false">I101*(1-$A101+Assumptions!$C$6)+'ARR Model'!J$14</f>
        <v>138.339784064514</v>
      </c>
      <c r="K101" s="32" t="n">
        <f aca="false">J101*(1-$A101+Assumptions!$C$6)+'ARR Model'!K$14</f>
        <v>139.998723530318</v>
      </c>
      <c r="L101" s="32" t="n">
        <f aca="false">K101*(1-$A101+Assumptions!$C$6)+'ARR Model'!L$14</f>
        <v>142.194014145114</v>
      </c>
      <c r="M101" s="32" t="n">
        <f aca="false">SUMPRODUCT((B101:K101+C101:L101)/2*Inputs!$B$36,'ARR Model'!$C$10:$L$10,DCF!$C$5:$L$5)+AVERAGE(K101,L101)*Inputs!$B$36*'ARR Model'!$L$10*(1+Assumptions!$C$14)/(Assumptions!$C$13-Assumptions!$C$14)*DCF!$L$5</f>
        <v>431.597937957825</v>
      </c>
      <c r="N101" s="28" t="n">
        <f aca="false">(M101+Inputs!$B$9-Inputs!$B$10)/Inputs!$B$6*Inputs!$B$7</f>
        <v>22.000404509841</v>
      </c>
    </row>
    <row r="102" customFormat="false" ht="15" hidden="false" customHeight="false" outlineLevel="0" collapsed="false">
      <c r="A102" s="18" t="n">
        <v>0.36</v>
      </c>
      <c r="B102" s="31" t="n">
        <f aca="false">'ARR Model'!$B$17</f>
        <v>255.1</v>
      </c>
      <c r="C102" s="32" t="n">
        <f aca="false">B102*(1-$A102+Assumptions!$C$6)+'ARR Model'!C$14</f>
        <v>210.0564</v>
      </c>
      <c r="D102" s="32" t="n">
        <f aca="false">C102*(1-$A102+Assumptions!$C$6)+'ARR Model'!D$14</f>
        <v>179.574522</v>
      </c>
      <c r="E102" s="32" t="n">
        <f aca="false">D102*(1-$A102+Assumptions!$C$6)+'ARR Model'!E$14</f>
        <v>159.547979566667</v>
      </c>
      <c r="F102" s="32" t="n">
        <f aca="false">E102*(1-$A102+Assumptions!$C$6)+'ARR Model'!F$14</f>
        <v>146.994552311144</v>
      </c>
      <c r="G102" s="32" t="n">
        <f aca="false">F102*(1-$A102+Assumptions!$C$6)+'ARR Model'!G$14</f>
        <v>139.740529521788</v>
      </c>
      <c r="H102" s="32" t="n">
        <f aca="false">G102*(1-$A102+Assumptions!$C$6)+'ARR Model'!H$14</f>
        <v>136.194019899751</v>
      </c>
      <c r="I102" s="32" t="n">
        <f aca="false">H102*(1-$A102+Assumptions!$C$6)+'ARR Model'!I$14</f>
        <v>135.182369313128</v>
      </c>
      <c r="J102" s="32" t="n">
        <f aca="false">I102*(1-$A102+Assumptions!$C$6)+'ARR Model'!J$14</f>
        <v>135.835769348545</v>
      </c>
      <c r="K102" s="32" t="n">
        <f aca="false">J102*(1-$A102+Assumptions!$C$6)+'ARR Model'!K$14</f>
        <v>137.504134014498</v>
      </c>
      <c r="L102" s="32" t="n">
        <f aca="false">K102*(1-$A102+Assumptions!$C$6)+'ARR Model'!L$14</f>
        <v>139.697916076072</v>
      </c>
      <c r="M102" s="32" t="n">
        <f aca="false">SUMPRODUCT((B102:K102+C102:L102)/2*Inputs!$B$36,'ARR Model'!$C$10:$L$10,DCF!$C$5:$L$5)+AVERAGE(K102,L102)*Inputs!$B$36*'ARR Model'!$L$10*(1+Assumptions!$C$14)/(Assumptions!$C$13-Assumptions!$C$14)*DCF!$L$5</f>
        <v>425.176132503614</v>
      </c>
      <c r="N102" s="28" t="n">
        <f aca="false">(M102+Inputs!$B$9-Inputs!$B$10)/Inputs!$B$6*Inputs!$B$7</f>
        <v>21.6374888509056</v>
      </c>
    </row>
    <row r="103" customFormat="false" ht="15" hidden="false" customHeight="false" outlineLevel="0" collapsed="false">
      <c r="A103" s="18" t="n">
        <v>0.365</v>
      </c>
      <c r="B103" s="31" t="n">
        <f aca="false">'ARR Model'!$B$17</f>
        <v>255.1</v>
      </c>
      <c r="C103" s="32" t="n">
        <f aca="false">B103*(1-$A103+Assumptions!$C$6)+'ARR Model'!C$14</f>
        <v>208.7809</v>
      </c>
      <c r="D103" s="32" t="n">
        <f aca="false">C103*(1-$A103+Assumptions!$C$6)+'ARR Model'!D$14</f>
        <v>177.6122575</v>
      </c>
      <c r="E103" s="32" t="n">
        <f aca="false">D103*(1-$A103+Assumptions!$C$6)+'ARR Model'!E$14</f>
        <v>157.247087839167</v>
      </c>
      <c r="F103" s="32" t="n">
        <f aca="false">E103*(1-$A103+Assumptions!$C$6)+'ARR Model'!F$14</f>
        <v>144.551674828149</v>
      </c>
      <c r="G103" s="32" t="n">
        <f aca="false">F103*(1-$A103+Assumptions!$C$6)+'ARR Model'!G$14</f>
        <v>137.25889935989</v>
      </c>
      <c r="H103" s="32" t="n">
        <f aca="false">G103*(1-$A103+Assumptions!$C$6)+'ARR Model'!H$14</f>
        <v>133.720951686385</v>
      </c>
      <c r="I103" s="32" t="n">
        <f aca="false">H103*(1-$A103+Assumptions!$C$6)+'ARR Model'!I$14</f>
        <v>132.733155441072</v>
      </c>
      <c r="J103" s="32" t="n">
        <f aca="false">I103*(1-$A103+Assumptions!$C$6)+'ARR Model'!J$14</f>
        <v>133.40866958346</v>
      </c>
      <c r="K103" s="32" t="n">
        <f aca="false">J103*(1-$A103+Assumptions!$C$6)+'ARR Model'!K$14</f>
        <v>135.089578835719</v>
      </c>
      <c r="L103" s="32" t="n">
        <f aca="false">K103*(1-$A103+Assumptions!$C$6)+'ARR Model'!L$14</f>
        <v>137.283988453173</v>
      </c>
      <c r="M103" s="32" t="n">
        <f aca="false">SUMPRODUCT((B103:K103+C103:L103)/2*Inputs!$B$36,'ARR Model'!$C$10:$L$10,DCF!$C$5:$L$5)+AVERAGE(K103,L103)*Inputs!$B$36*'ARR Model'!$L$10*(1+Assumptions!$C$14)/(Assumptions!$C$13-Assumptions!$C$14)*DCF!$L$5</f>
        <v>418.923855826284</v>
      </c>
      <c r="N103" s="28" t="n">
        <f aca="false">(M103+Inputs!$B$9-Inputs!$B$10)/Inputs!$B$6*Inputs!$B$7</f>
        <v>21.2841537761547</v>
      </c>
    </row>
    <row r="104" customFormat="false" ht="15" hidden="false" customHeight="false" outlineLevel="0" collapsed="false">
      <c r="A104" s="18" t="n">
        <v>0.37</v>
      </c>
      <c r="B104" s="31" t="n">
        <f aca="false">'ARR Model'!$B$17</f>
        <v>255.1</v>
      </c>
      <c r="C104" s="32" t="n">
        <f aca="false">B104*(1-$A104+Assumptions!$C$6)+'ARR Model'!C$14</f>
        <v>207.5054</v>
      </c>
      <c r="D104" s="32" t="n">
        <f aca="false">C104*(1-$A104+Assumptions!$C$6)+'ARR Model'!D$14</f>
        <v>175.662748</v>
      </c>
      <c r="E104" s="32" t="n">
        <f aca="false">D104*(1-$A104+Assumptions!$C$6)+'ARR Model'!E$14</f>
        <v>154.974874806667</v>
      </c>
      <c r="F104" s="32" t="n">
        <f aca="false">E104*(1-$A104+Assumptions!$C$6)+'ARR Model'!F$14</f>
        <v>142.152168135878</v>
      </c>
      <c r="G104" s="32" t="n">
        <f aca="false">F104*(1-$A104+Assumptions!$C$6)+'ARR Model'!G$14</f>
        <v>134.832491234237</v>
      </c>
      <c r="H104" s="32" t="n">
        <f aca="false">G104*(1-$A104+Assumptions!$C$6)+'ARR Model'!H$14</f>
        <v>131.311907420372</v>
      </c>
      <c r="I104" s="32" t="n">
        <f aca="false">H104*(1-$A104+Assumptions!$C$6)+'ARR Model'!I$14</f>
        <v>130.354129253771</v>
      </c>
      <c r="J104" s="32" t="n">
        <f aca="false">I104*(1-$A104+Assumptions!$C$6)+'ARR Model'!J$14</f>
        <v>131.055895213271</v>
      </c>
      <c r="K104" s="32" t="n">
        <f aca="false">J104*(1-$A104+Assumptions!$C$6)+'ARR Model'!K$14</f>
        <v>132.752065684967</v>
      </c>
      <c r="L104" s="32" t="n">
        <f aca="false">K104*(1-$A104+Assumptions!$C$6)+'ARR Model'!L$14</f>
        <v>134.948906221961</v>
      </c>
      <c r="M104" s="32" t="n">
        <f aca="false">SUMPRODUCT((B104:K104+C104:L104)/2*Inputs!$B$36,'ARR Model'!$C$10:$L$10,DCF!$C$5:$L$5)+AVERAGE(K104,L104)*Inputs!$B$36*'ARR Model'!$L$10*(1+Assumptions!$C$14)/(Assumptions!$C$13-Assumptions!$C$14)*DCF!$L$5</f>
        <v>412.835378814679</v>
      </c>
      <c r="N104" s="28" t="n">
        <f aca="false">(M104+Inputs!$B$9-Inputs!$B$10)/Inputs!$B$6*Inputs!$B$7</f>
        <v>20.9400755161802</v>
      </c>
    </row>
    <row r="105" customFormat="false" ht="15" hidden="false" customHeight="false" outlineLevel="0" collapsed="false">
      <c r="A105" s="18" t="n">
        <v>0.375</v>
      </c>
      <c r="B105" s="31" t="n">
        <f aca="false">'ARR Model'!$B$17</f>
        <v>255.1</v>
      </c>
      <c r="C105" s="32" t="n">
        <f aca="false">B105*(1-$A105+Assumptions!$C$6)+'ARR Model'!C$14</f>
        <v>206.2299</v>
      </c>
      <c r="D105" s="32" t="n">
        <f aca="false">C105*(1-$A105+Assumptions!$C$6)+'ARR Model'!D$14</f>
        <v>173.7259935</v>
      </c>
      <c r="E105" s="32" t="n">
        <f aca="false">D105*(1-$A105+Assumptions!$C$6)+'ARR Model'!E$14</f>
        <v>152.731149144167</v>
      </c>
      <c r="F105" s="32" t="n">
        <f aca="false">E105*(1-$A105+Assumptions!$C$6)+'ARR Model'!F$14</f>
        <v>139.795467169782</v>
      </c>
      <c r="G105" s="32" t="n">
        <f aca="false">F105*(1-$A105+Assumptions!$C$6)+'ARR Model'!G$14</f>
        <v>132.46025621246</v>
      </c>
      <c r="H105" s="32" t="n">
        <f aca="false">G105*(1-$A105+Assumptions!$C$6)+'ARR Model'!H$14</f>
        <v>128.965319273848</v>
      </c>
      <c r="I105" s="32" t="n">
        <f aca="false">H105*(1-$A105+Assumptions!$C$6)+'ARR Model'!I$14</f>
        <v>128.04322507337</v>
      </c>
      <c r="J105" s="32" t="n">
        <f aca="false">I105*(1-$A105+Assumptions!$C$6)+'ARR Model'!J$14</f>
        <v>128.774937119819</v>
      </c>
      <c r="K105" s="32" t="n">
        <f aca="false">J105*(1-$A105+Assumptions!$C$6)+'ARR Model'!K$14</f>
        <v>130.488710753018</v>
      </c>
      <c r="L105" s="32" t="n">
        <f aca="false">K105*(1-$A105+Assumptions!$C$6)+'ARR Model'!L$14</f>
        <v>132.689480666511</v>
      </c>
      <c r="M105" s="32" t="n">
        <f aca="false">SUMPRODUCT((B105:K105+C105:L105)/2*Inputs!$B$36,'ARR Model'!$C$10:$L$10,DCF!$C$5:$L$5)+AVERAGE(K105,L105)*Inputs!$B$36*'ARR Model'!$L$10*(1+Assumptions!$C$14)/(Assumptions!$C$13-Assumptions!$C$14)*DCF!$L$5</f>
        <v>406.905175786193</v>
      </c>
      <c r="N105" s="28" t="n">
        <f aca="false">(M105+Inputs!$B$9-Inputs!$B$10)/Inputs!$B$6*Inputs!$B$7</f>
        <v>20.6049417979371</v>
      </c>
    </row>
    <row r="106" customFormat="false" ht="15" hidden="false" customHeight="false" outlineLevel="0" collapsed="false">
      <c r="A106" s="18" t="n">
        <v>0.38</v>
      </c>
      <c r="B106" s="31" t="n">
        <f aca="false">'ARR Model'!$B$17</f>
        <v>255.1</v>
      </c>
      <c r="C106" s="32" t="n">
        <f aca="false">B106*(1-$A106+Assumptions!$C$6)+'ARR Model'!C$14</f>
        <v>204.9544</v>
      </c>
      <c r="D106" s="32" t="n">
        <f aca="false">C106*(1-$A106+Assumptions!$C$6)+'ARR Model'!D$14</f>
        <v>171.801994</v>
      </c>
      <c r="E106" s="32" t="n">
        <f aca="false">D106*(1-$A106+Assumptions!$C$6)+'ARR Model'!E$14</f>
        <v>150.515719526667</v>
      </c>
      <c r="F106" s="32" t="n">
        <f aca="false">E106*(1-$A106+Assumptions!$C$6)+'ARR Model'!F$14</f>
        <v>137.481010691811</v>
      </c>
      <c r="G106" s="32" t="n">
        <f aca="false">F106*(1-$A106+Assumptions!$C$6)+'ARR Model'!G$14</f>
        <v>130.141159342031</v>
      </c>
      <c r="H106" s="32" t="n">
        <f aca="false">G106*(1-$A106+Assumptions!$C$6)+'ARR Model'!H$14</f>
        <v>126.679650183486</v>
      </c>
      <c r="I106" s="32" t="n">
        <f aca="false">H106*(1-$A106+Assumptions!$C$6)+'ARR Model'!I$14</f>
        <v>125.798430113747</v>
      </c>
      <c r="J106" s="32" t="n">
        <f aca="false">I106*(1-$A106+Assumptions!$C$6)+'ARR Model'!J$14</f>
        <v>126.563364522716</v>
      </c>
      <c r="K106" s="32" t="n">
        <f aca="false">J106*(1-$A106+Assumptions!$C$6)+'ARR Model'!K$14</f>
        <v>128.296735249447</v>
      </c>
      <c r="L106" s="32" t="n">
        <f aca="false">K106*(1-$A106+Assumptions!$C$6)+'ARR Model'!L$14</f>
        <v>130.502654260246</v>
      </c>
      <c r="M106" s="32" t="n">
        <f aca="false">SUMPRODUCT((B106:K106+C106:L106)/2*Inputs!$B$36,'ARR Model'!$C$10:$L$10,DCF!$C$5:$L$5)+AVERAGE(K106,L106)*Inputs!$B$36*'ARR Model'!$L$10*(1+Assumptions!$C$14)/(Assumptions!$C$13-Assumptions!$C$14)*DCF!$L$5</f>
        <v>401.127917694464</v>
      </c>
      <c r="N106" s="28" t="n">
        <f aca="false">(M106+Inputs!$B$9-Inputs!$B$10)/Inputs!$B$6*Inputs!$B$7</f>
        <v>20.2784514608895</v>
      </c>
    </row>
    <row r="107" customFormat="false" ht="15" hidden="false" customHeight="false" outlineLevel="0" collapsed="false">
      <c r="A107" s="18" t="n">
        <v>0.385</v>
      </c>
      <c r="B107" s="31" t="n">
        <f aca="false">'ARR Model'!$B$17</f>
        <v>255.1</v>
      </c>
      <c r="C107" s="32" t="n">
        <f aca="false">B107*(1-$A107+Assumptions!$C$6)+'ARR Model'!C$14</f>
        <v>203.6789</v>
      </c>
      <c r="D107" s="32" t="n">
        <f aca="false">C107*(1-$A107+Assumptions!$C$6)+'ARR Model'!D$14</f>
        <v>169.8907495</v>
      </c>
      <c r="E107" s="32" t="n">
        <f aca="false">D107*(1-$A107+Assumptions!$C$6)+'ARR Model'!E$14</f>
        <v>148.328394629167</v>
      </c>
      <c r="F107" s="32" t="n">
        <f aca="false">E107*(1-$A107+Assumptions!$C$6)+'ARR Model'!F$14</f>
        <v>135.208241290415</v>
      </c>
      <c r="G107" s="32" t="n">
        <f aca="false">F107*(1-$A107+Assumptions!$C$6)+'ARR Model'!G$14</f>
        <v>127.874179554602</v>
      </c>
      <c r="H107" s="32" t="n">
        <f aca="false">G107*(1-$A107+Assumptions!$C$6)+'ARR Model'!H$14</f>
        <v>124.453393434513</v>
      </c>
      <c r="I107" s="32" t="n">
        <f aca="false">H107*(1-$A107+Assumptions!$C$6)+'ARR Model'!I$14</f>
        <v>123.617783422293</v>
      </c>
      <c r="J107" s="32" t="n">
        <f aca="false">I107*(1-$A107+Assumptions!$C$6)+'ARR Model'!J$14</f>
        <v>124.418822921587</v>
      </c>
      <c r="K107" s="32" t="n">
        <f aca="false">J107*(1-$A107+Assumptions!$C$6)+'ARR Model'!K$14</f>
        <v>126.173462014048</v>
      </c>
      <c r="L107" s="32" t="n">
        <f aca="false">K107*(1-$A107+Assumptions!$C$6)+'ARR Model'!L$14</f>
        <v>128.385495685397</v>
      </c>
      <c r="M107" s="32" t="n">
        <f aca="false">SUMPRODUCT((B107:K107+C107:L107)/2*Inputs!$B$36,'ARR Model'!$C$10:$L$10,DCF!$C$5:$L$5)+AVERAGE(K107,L107)*Inputs!$B$36*'ARR Model'!$L$10*(1+Assumptions!$C$14)/(Assumptions!$C$13-Assumptions!$C$14)*DCF!$L$5</f>
        <v>395.49846553546</v>
      </c>
      <c r="N107" s="28" t="n">
        <f aca="false">(M107+Inputs!$B$9-Inputs!$B$10)/Inputs!$B$6*Inputs!$B$7</f>
        <v>19.9603140843687</v>
      </c>
    </row>
    <row r="108" customFormat="false" ht="15" hidden="false" customHeight="false" outlineLevel="0" collapsed="false">
      <c r="A108" s="18" t="n">
        <v>0.39</v>
      </c>
      <c r="B108" s="31" t="n">
        <f aca="false">'ARR Model'!$B$17</f>
        <v>255.1</v>
      </c>
      <c r="C108" s="32" t="n">
        <f aca="false">B108*(1-$A108+Assumptions!$C$6)+'ARR Model'!C$14</f>
        <v>202.4034</v>
      </c>
      <c r="D108" s="32" t="n">
        <f aca="false">C108*(1-$A108+Assumptions!$C$6)+'ARR Model'!D$14</f>
        <v>167.99226</v>
      </c>
      <c r="E108" s="32" t="n">
        <f aca="false">D108*(1-$A108+Assumptions!$C$6)+'ARR Model'!E$14</f>
        <v>146.168983126667</v>
      </c>
      <c r="F108" s="32" t="n">
        <f aca="false">E108*(1-$A108+Assumptions!$C$6)+'ARR Model'!F$14</f>
        <v>132.976605380544</v>
      </c>
      <c r="G108" s="32" t="n">
        <f aca="false">F108*(1-$A108+Assumptions!$C$6)+'ARR Model'!G$14</f>
        <v>125.658309570339</v>
      </c>
      <c r="H108" s="32" t="n">
        <f aca="false">G108*(1-$A108+Assumptions!$C$6)+'ARR Model'!H$14</f>
        <v>122.285072247598</v>
      </c>
      <c r="I108" s="32" t="n">
        <f aca="false">H108*(1-$A108+Assumptions!$C$6)+'ARR Model'!I$14</f>
        <v>121.49937483615</v>
      </c>
      <c r="J108" s="32" t="n">
        <f aca="false">I108*(1-$A108+Assumptions!$C$6)+'ARR Model'!J$14</f>
        <v>122.339032080037</v>
      </c>
      <c r="K108" s="32" t="n">
        <f aca="false">J108*(1-$A108+Assumptions!$C$6)+'ARR Model'!K$14</f>
        <v>124.11631221877</v>
      </c>
      <c r="L108" s="32" t="n">
        <f aca="false">K108*(1-$A108+Assumptions!$C$6)+'ARR Model'!L$14</f>
        <v>126.335195016585</v>
      </c>
      <c r="M108" s="32" t="n">
        <f aca="false">SUMPRODUCT((B108:K108+C108:L108)/2*Inputs!$B$36,'ARR Model'!$C$10:$L$10,DCF!$C$5:$L$5)+AVERAGE(K108,L108)*Inputs!$B$36*'ARR Model'!$L$10*(1+Assumptions!$C$14)/(Assumptions!$C$13-Assumptions!$C$14)*DCF!$L$5</f>
        <v>390.011863947204</v>
      </c>
      <c r="N108" s="28" t="n">
        <f aca="false">(M108+Inputs!$B$9-Inputs!$B$10)/Inputs!$B$6*Inputs!$B$7</f>
        <v>19.6502496258741</v>
      </c>
    </row>
    <row r="109" customFormat="false" ht="15" hidden="false" customHeight="false" outlineLevel="0" collapsed="false">
      <c r="A109" s="18" t="n">
        <v>0.395</v>
      </c>
      <c r="B109" s="31" t="n">
        <f aca="false">'ARR Model'!$B$17</f>
        <v>255.1</v>
      </c>
      <c r="C109" s="32" t="n">
        <f aca="false">B109*(1-$A109+Assumptions!$C$6)+'ARR Model'!C$14</f>
        <v>201.1279</v>
      </c>
      <c r="D109" s="32" t="n">
        <f aca="false">C109*(1-$A109+Assumptions!$C$6)+'ARR Model'!D$14</f>
        <v>166.1065255</v>
      </c>
      <c r="E109" s="32" t="n">
        <f aca="false">D109*(1-$A109+Assumptions!$C$6)+'ARR Model'!E$14</f>
        <v>144.037293694167</v>
      </c>
      <c r="F109" s="32" t="n">
        <f aca="false">E109*(1-$A109+Assumptions!$C$6)+'ARR Model'!F$14</f>
        <v>130.785553203649</v>
      </c>
      <c r="G109" s="32" t="n">
        <f aca="false">F109*(1-$A109+Assumptions!$C$6)+'ARR Model'!G$14</f>
        <v>123.492555802263</v>
      </c>
      <c r="H109" s="32" t="n">
        <f aca="false">G109*(1-$A109+Assumptions!$C$6)+'ARR Model'!H$14</f>
        <v>120.173239368614</v>
      </c>
      <c r="I109" s="32" t="n">
        <f aca="false">H109*(1-$A109+Assumptions!$C$6)+'ARR Model'!I$14</f>
        <v>119.441343952808</v>
      </c>
      <c r="J109" s="32" t="n">
        <f aca="false">I109*(1-$A109+Assumptions!$C$6)+'ARR Model'!J$14</f>
        <v>120.321784050767</v>
      </c>
      <c r="K109" s="32" t="n">
        <f aca="false">J109*(1-$A109+Assumptions!$C$6)+'ARR Model'!K$14</f>
        <v>122.12280215832</v>
      </c>
      <c r="L109" s="32" t="n">
        <f aca="false">K109*(1-$A109+Assumptions!$C$6)+'ARR Model'!L$14</f>
        <v>124.349059064083</v>
      </c>
      <c r="M109" s="32" t="n">
        <f aca="false">SUMPRODUCT((B109:K109+C109:L109)/2*Inputs!$B$36,'ARR Model'!$C$10:$L$10,DCF!$C$5:$L$5)+AVERAGE(K109,L109)*Inputs!$B$36*'ARR Model'!$L$10*(1+Assumptions!$C$14)/(Assumptions!$C$13-Assumptions!$C$14)*DCF!$L$5</f>
        <v>384.663334998473</v>
      </c>
      <c r="N109" s="28" t="n">
        <f aca="false">(M109+Inputs!$B$9-Inputs!$B$10)/Inputs!$B$6*Inputs!$B$7</f>
        <v>19.347988070054</v>
      </c>
    </row>
    <row r="110" customFormat="false" ht="15" hidden="false" customHeight="false" outlineLevel="0" collapsed="false">
      <c r="A110" s="18" t="n">
        <v>0.4</v>
      </c>
      <c r="B110" s="31" t="n">
        <f aca="false">'ARR Model'!$B$17</f>
        <v>255.1</v>
      </c>
      <c r="C110" s="32" t="n">
        <f aca="false">B110*(1-$A110+Assumptions!$C$6)+'ARR Model'!C$14</f>
        <v>199.8524</v>
      </c>
      <c r="D110" s="32" t="n">
        <f aca="false">C110*(1-$A110+Assumptions!$C$6)+'ARR Model'!D$14</f>
        <v>164.233546</v>
      </c>
      <c r="E110" s="32" t="n">
        <f aca="false">D110*(1-$A110+Assumptions!$C$6)+'ARR Model'!E$14</f>
        <v>141.933135006667</v>
      </c>
      <c r="F110" s="32" t="n">
        <f aca="false">E110*(1-$A110+Assumptions!$C$6)+'ARR Model'!F$14</f>
        <v>128.634538827678</v>
      </c>
      <c r="G110" s="32" t="n">
        <f aca="false">F110*(1-$A110+Assumptions!$C$6)+'ARR Model'!G$14</f>
        <v>121.375938260584</v>
      </c>
      <c r="H110" s="32" t="n">
        <f aca="false">G110*(1-$A110+Assumptions!$C$6)+'ARR Model'!H$14</f>
        <v>118.116476661262</v>
      </c>
      <c r="I110" s="32" t="n">
        <f aca="false">H110*(1-$A110+Assumptions!$C$6)+'ARR Model'!I$14</f>
        <v>117.441879114965</v>
      </c>
      <c r="J110" s="32" t="n">
        <f aca="false">I110*(1-$A110+Assumptions!$C$6)+'ARR Model'!J$14</f>
        <v>118.364941241269</v>
      </c>
      <c r="K110" s="32" t="n">
        <f aca="false">J110*(1-$A110+Assumptions!$C$6)+'ARR Model'!K$14</f>
        <v>120.190540127608</v>
      </c>
      <c r="L110" s="32" t="n">
        <f aca="false">K110*(1-$A110+Assumptions!$C$6)+'ARR Model'!L$14</f>
        <v>122.424506872407</v>
      </c>
      <c r="M110" s="32" t="n">
        <f aca="false">SUMPRODUCT((B110:K110+C110:L110)/2*Inputs!$B$36,'ARR Model'!$C$10:$L$10,DCF!$C$5:$L$5)+AVERAGE(K110,L110)*Inputs!$B$36*'ARR Model'!$L$10*(1+Assumptions!$C$14)/(Assumptions!$C$13-Assumptions!$C$14)*DCF!$L$5</f>
        <v>379.448272161867</v>
      </c>
      <c r="N110" s="28" t="n">
        <f aca="false">(M110+Inputs!$B$9-Inputs!$B$10)/Inputs!$B$6*Inputs!$B$7</f>
        <v>19.0532690881055</v>
      </c>
    </row>
    <row r="111" customFormat="false" ht="15" hidden="false" customHeight="false" outlineLevel="0" collapsed="false">
      <c r="A111" s="18" t="n">
        <v>0.405</v>
      </c>
      <c r="B111" s="31" t="n">
        <f aca="false">'ARR Model'!$B$17</f>
        <v>255.1</v>
      </c>
      <c r="C111" s="32" t="n">
        <f aca="false">B111*(1-$A111+Assumptions!$C$6)+'ARR Model'!C$14</f>
        <v>198.5769</v>
      </c>
      <c r="D111" s="32" t="n">
        <f aca="false">C111*(1-$A111+Assumptions!$C$6)+'ARR Model'!D$14</f>
        <v>162.3733215</v>
      </c>
      <c r="E111" s="32" t="n">
        <f aca="false">D111*(1-$A111+Assumptions!$C$6)+'ARR Model'!E$14</f>
        <v>139.856315739167</v>
      </c>
      <c r="F111" s="32" t="n">
        <f aca="false">E111*(1-$A111+Assumptions!$C$6)+'ARR Model'!F$14</f>
        <v>126.523020147082</v>
      </c>
      <c r="G111" s="32" t="n">
        <f aca="false">F111*(1-$A111+Assumptions!$C$6)+'ARR Model'!G$14</f>
        <v>119.307490457044</v>
      </c>
      <c r="H111" s="32" t="n">
        <f aca="false">G111*(1-$A111+Assumptions!$C$6)+'ARR Model'!H$14</f>
        <v>116.113394702569</v>
      </c>
      <c r="I111" s="32" t="n">
        <f aca="false">H111*(1-$A111+Assumptions!$C$6)+'ARR Model'!I$14</f>
        <v>115.499216409541</v>
      </c>
      <c r="J111" s="32" t="n">
        <f aca="false">I111*(1-$A111+Assumptions!$C$6)+'ARR Model'!J$14</f>
        <v>116.466434519533</v>
      </c>
      <c r="K111" s="32" t="n">
        <f aca="false">J111*(1-$A111+Assumptions!$C$6)+'ARR Model'!K$14</f>
        <v>118.31722338423</v>
      </c>
      <c r="L111" s="32" t="n">
        <f aca="false">K111*(1-$A111+Assumptions!$C$6)+'ARR Model'!L$14</f>
        <v>120.559065369989</v>
      </c>
      <c r="M111" s="32" t="n">
        <f aca="false">SUMPRODUCT((B111:K111+C111:L111)/2*Inputs!$B$36,'ARR Model'!$C$10:$L$10,DCF!$C$5:$L$5)+AVERAGE(K111,L111)*Inputs!$B$36*'ARR Model'!$L$10*(1+Assumptions!$C$14)/(Assumptions!$C$13-Assumptions!$C$14)*DCF!$L$5</f>
        <v>374.362234466774</v>
      </c>
      <c r="N111" s="28" t="n">
        <f aca="false">(M111+Inputs!$B$9-Inputs!$B$10)/Inputs!$B$6*Inputs!$B$7</f>
        <v>18.7658417073407</v>
      </c>
    </row>
    <row r="112" customFormat="false" ht="15" hidden="false" customHeight="false" outlineLevel="0" collapsed="false">
      <c r="A112" s="18" t="n">
        <v>0.41</v>
      </c>
      <c r="B112" s="31" t="n">
        <f aca="false">'ARR Model'!$B$17</f>
        <v>255.1</v>
      </c>
      <c r="C112" s="32" t="n">
        <f aca="false">B112*(1-$A112+Assumptions!$C$6)+'ARR Model'!C$14</f>
        <v>197.3014</v>
      </c>
      <c r="D112" s="32" t="n">
        <f aca="false">C112*(1-$A112+Assumptions!$C$6)+'ARR Model'!D$14</f>
        <v>160.525852</v>
      </c>
      <c r="E112" s="32" t="n">
        <f aca="false">D112*(1-$A112+Assumptions!$C$6)+'ARR Model'!E$14</f>
        <v>137.806644566667</v>
      </c>
      <c r="F112" s="32" t="n">
        <f aca="false">E112*(1-$A112+Assumptions!$C$6)+'ARR Model'!F$14</f>
        <v>124.450458882811</v>
      </c>
      <c r="G112" s="32" t="n">
        <f aca="false">F112*(1-$A112+Assumptions!$C$6)+'ARR Model'!G$14</f>
        <v>117.286259309247</v>
      </c>
      <c r="H112" s="32" t="n">
        <f aca="false">G112*(1-$A112+Assumptions!$C$6)+'ARR Model'!H$14</f>
        <v>114.16263238126</v>
      </c>
      <c r="I112" s="32" t="n">
        <f aca="false">H112*(1-$A112+Assumptions!$C$6)+'ARR Model'!I$14</f>
        <v>113.611638680751</v>
      </c>
      <c r="J112" s="32" t="n">
        <f aca="false">I112*(1-$A112+Assumptions!$C$6)+'ARR Model'!J$14</f>
        <v>114.624261359196</v>
      </c>
      <c r="K112" s="32" t="n">
        <f aca="false">J112*(1-$A112+Assumptions!$C$6)+'ARR Model'!K$14</f>
        <v>116.500635194207</v>
      </c>
      <c r="L112" s="32" t="n">
        <f aca="false">K112*(1-$A112+Assumptions!$C$6)+'ARR Model'!L$14</f>
        <v>118.750365165752</v>
      </c>
      <c r="M112" s="32" t="n">
        <f aca="false">SUMPRODUCT((B112:K112+C112:L112)/2*Inputs!$B$36,'ARR Model'!$C$10:$L$10,DCF!$C$5:$L$5)+AVERAGE(K112,L112)*Inputs!$B$36*'ARR Model'!$L$10*(1+Assumptions!$C$14)/(Assumptions!$C$13-Assumptions!$C$14)*DCF!$L$5</f>
        <v>369.400940827779</v>
      </c>
      <c r="N112" s="28" t="n">
        <f aca="false">(M112+Inputs!$B$9-Inputs!$B$10)/Inputs!$B$6*Inputs!$B$7</f>
        <v>18.4854639906681</v>
      </c>
    </row>
    <row r="113" customFormat="false" ht="15" hidden="false" customHeight="false" outlineLevel="0" collapsed="false">
      <c r="A113" s="18" t="n">
        <v>0.415</v>
      </c>
      <c r="B113" s="31" t="n">
        <f aca="false">'ARR Model'!$B$17</f>
        <v>255.1</v>
      </c>
      <c r="C113" s="32" t="n">
        <f aca="false">B113*(1-$A113+Assumptions!$C$6)+'ARR Model'!C$14</f>
        <v>196.0259</v>
      </c>
      <c r="D113" s="32" t="n">
        <f aca="false">C113*(1-$A113+Assumptions!$C$6)+'ARR Model'!D$14</f>
        <v>158.6911375</v>
      </c>
      <c r="E113" s="32" t="n">
        <f aca="false">D113*(1-$A113+Assumptions!$C$6)+'ARR Model'!E$14</f>
        <v>135.783930164167</v>
      </c>
      <c r="F113" s="32" t="n">
        <f aca="false">E113*(1-$A113+Assumptions!$C$6)+'ARR Model'!F$14</f>
        <v>122.416320582315</v>
      </c>
      <c r="G113" s="32" t="n">
        <f aca="false">F113*(1-$A113+Assumptions!$C$6)+'ARR Model'!G$14</f>
        <v>115.311305045003</v>
      </c>
      <c r="H113" s="32" t="n">
        <f aca="false">G113*(1-$A113+Assumptions!$C$6)+'ARR Model'!H$14</f>
        <v>112.262856498991</v>
      </c>
      <c r="I113" s="32" t="n">
        <f aca="false">H113*(1-$A113+Assumptions!$C$6)+'ARR Model'!I$14</f>
        <v>111.777474557136</v>
      </c>
      <c r="J113" s="32" t="n">
        <f aca="false">I113*(1-$A113+Assumptions!$C$6)+'ARR Model'!J$14</f>
        <v>112.836484023589</v>
      </c>
      <c r="K113" s="32" t="n">
        <f aca="false">J113*(1-$A113+Assumptions!$C$6)+'ARR Model'!K$14</f>
        <v>114.738641959232</v>
      </c>
      <c r="L113" s="32" t="n">
        <f aca="false">K113*(1-$A113+Assumptions!$C$6)+'ARR Model'!L$14</f>
        <v>116.996136488523</v>
      </c>
      <c r="M113" s="32" t="n">
        <f aca="false">SUMPRODUCT((B113:K113+C113:L113)/2*Inputs!$B$36,'ARR Model'!$C$10:$L$10,DCF!$C$5:$L$5)+AVERAGE(K113,L113)*Inputs!$B$36*'ARR Model'!$L$10*(1+Assumptions!$C$14)/(Assumptions!$C$13-Assumptions!$C$14)*DCF!$L$5</f>
        <v>364.560264544217</v>
      </c>
      <c r="N113" s="28" t="n">
        <f aca="false">(M113+Inputs!$B$9-Inputs!$B$10)/Inputs!$B$6*Inputs!$B$7</f>
        <v>18.2119027257453</v>
      </c>
    </row>
    <row r="114" customFormat="false" ht="15" hidden="false" customHeight="false" outlineLevel="0" collapsed="false">
      <c r="A114" s="18" t="n">
        <v>0.42</v>
      </c>
      <c r="B114" s="31" t="n">
        <f aca="false">'ARR Model'!$B$17</f>
        <v>255.1</v>
      </c>
      <c r="C114" s="32" t="n">
        <f aca="false">B114*(1-$A114+Assumptions!$C$6)+'ARR Model'!C$14</f>
        <v>194.7504</v>
      </c>
      <c r="D114" s="32" t="n">
        <f aca="false">C114*(1-$A114+Assumptions!$C$6)+'ARR Model'!D$14</f>
        <v>156.869178</v>
      </c>
      <c r="E114" s="32" t="n">
        <f aca="false">D114*(1-$A114+Assumptions!$C$6)+'ARR Model'!E$14</f>
        <v>133.787981206667</v>
      </c>
      <c r="F114" s="32" t="n">
        <f aca="false">E114*(1-$A114+Assumptions!$C$6)+'ARR Model'!F$14</f>
        <v>120.420074619544</v>
      </c>
      <c r="G114" s="32" t="n">
        <f aca="false">F114*(1-$A114+Assumptions!$C$6)+'ARR Model'!G$14</f>
        <v>113.381701106663</v>
      </c>
      <c r="H114" s="32" t="n">
        <f aca="false">G114*(1-$A114+Assumptions!$C$6)+'ARR Model'!H$14</f>
        <v>110.412761374462</v>
      </c>
      <c r="I114" s="32" t="n">
        <f aca="false">H114*(1-$A114+Assumptions!$C$6)+'ARR Model'!I$14</f>
        <v>109.995097492452</v>
      </c>
      <c r="J114" s="32" t="n">
        <f aca="false">I114*(1-$A114+Assumptions!$C$6)+'ARR Model'!J$14</f>
        <v>111.101227788111</v>
      </c>
      <c r="K114" s="32" t="n">
        <f aca="false">J114*(1-$A114+Assumptions!$C$6)+'ARR Model'!K$14</f>
        <v>113.029190423699</v>
      </c>
      <c r="L114" s="32" t="n">
        <f aca="false">K114*(1-$A114+Assumptions!$C$6)+'ARR Model'!L$14</f>
        <v>115.294205265275</v>
      </c>
      <c r="M114" s="32" t="n">
        <f aca="false">SUMPRODUCT((B114:K114+C114:L114)/2*Inputs!$B$36,'ARR Model'!$C$10:$L$10,DCF!$C$5:$L$5)+AVERAGE(K114,L114)*Inputs!$B$36*'ARR Model'!$L$10*(1+Assumptions!$C$14)/(Assumptions!$C$13-Assumptions!$C$14)*DCF!$L$5</f>
        <v>359.836227966584</v>
      </c>
      <c r="N114" s="28" t="n">
        <f aca="false">(M114+Inputs!$B$9-Inputs!$B$10)/Inputs!$B$6*Inputs!$B$7</f>
        <v>17.9449331235625</v>
      </c>
    </row>
    <row r="115" customFormat="false" ht="15" hidden="false" customHeight="false" outlineLevel="0" collapsed="false">
      <c r="A115" s="18" t="n">
        <v>0.425</v>
      </c>
      <c r="B115" s="31" t="n">
        <f aca="false">'ARR Model'!$B$17</f>
        <v>255.1</v>
      </c>
      <c r="C115" s="32" t="n">
        <f aca="false">B115*(1-$A115+Assumptions!$C$6)+'ARR Model'!C$14</f>
        <v>193.4749</v>
      </c>
      <c r="D115" s="32" t="n">
        <f aca="false">C115*(1-$A115+Assumptions!$C$6)+'ARR Model'!D$14</f>
        <v>155.0599735</v>
      </c>
      <c r="E115" s="32" t="n">
        <f aca="false">D115*(1-$A115+Assumptions!$C$6)+'ARR Model'!E$14</f>
        <v>131.818606369167</v>
      </c>
      <c r="F115" s="32" t="n">
        <f aca="false">E115*(1-$A115+Assumptions!$C$6)+'ARR Model'!F$14</f>
        <v>118.461194194949</v>
      </c>
      <c r="G115" s="32" t="n">
        <f aca="false">F115*(1-$A115+Assumptions!$C$6)+'ARR Model'!G$14</f>
        <v>111.496534055455</v>
      </c>
      <c r="H115" s="32" t="n">
        <f aca="false">G115*(1-$A115+Assumptions!$C$6)+'ARR Model'!H$14</f>
        <v>108.611068450387</v>
      </c>
      <c r="I115" s="32" t="n">
        <f aca="false">H115*(1-$A115+Assumptions!$C$6)+'ARR Model'!I$14</f>
        <v>108.26292482031</v>
      </c>
      <c r="J115" s="32" t="n">
        <f aca="false">I115*(1-$A115+Assumptions!$C$6)+'ARR Model'!J$14</f>
        <v>109.416679200397</v>
      </c>
      <c r="K115" s="32" t="n">
        <f aca="false">J115*(1-$A115+Assumptions!$C$6)+'ARR Model'!K$14</f>
        <v>111.370304959805</v>
      </c>
      <c r="L115" s="32" t="n">
        <f aca="false">K115*(1-$A115+Assumptions!$C$6)+'ARR Model'!L$14</f>
        <v>113.642489334306</v>
      </c>
      <c r="M115" s="32" t="n">
        <f aca="false">SUMPRODUCT((B115:K115+C115:L115)/2*Inputs!$B$36,'ARR Model'!$C$10:$L$10,DCF!$C$5:$L$5)+AVERAGE(K115,L115)*Inputs!$B$36*'ARR Model'!$L$10*(1+Assumptions!$C$14)/(Assumptions!$C$13-Assumptions!$C$14)*DCF!$L$5</f>
        <v>355.224997325661</v>
      </c>
      <c r="N115" s="28" t="n">
        <f aca="false">(M115+Inputs!$B$9-Inputs!$B$10)/Inputs!$B$6*Inputs!$B$7</f>
        <v>17.6843385262197</v>
      </c>
    </row>
    <row r="116" customFormat="false" ht="15" hidden="false" customHeight="false" outlineLevel="0" collapsed="false">
      <c r="A116" s="18" t="n">
        <v>0.43</v>
      </c>
      <c r="B116" s="31" t="n">
        <f aca="false">'ARR Model'!$B$17</f>
        <v>255.1</v>
      </c>
      <c r="C116" s="32" t="n">
        <f aca="false">B116*(1-$A116+Assumptions!$C$6)+'ARR Model'!C$14</f>
        <v>192.1994</v>
      </c>
      <c r="D116" s="32" t="n">
        <f aca="false">C116*(1-$A116+Assumptions!$C$6)+'ARR Model'!D$14</f>
        <v>153.263524</v>
      </c>
      <c r="E116" s="32" t="n">
        <f aca="false">D116*(1-$A116+Assumptions!$C$6)+'ARR Model'!E$14</f>
        <v>129.875614326667</v>
      </c>
      <c r="F116" s="32" t="n">
        <f aca="false">E116*(1-$A116+Assumptions!$C$6)+'ARR Model'!F$14</f>
        <v>116.539156335478</v>
      </c>
      <c r="G116" s="32" t="n">
        <f aca="false">F116*(1-$A116+Assumptions!$C$6)+'ARR Model'!G$14</f>
        <v>109.654903475824</v>
      </c>
      <c r="H116" s="32" t="n">
        <f aca="false">G116*(1-$A116+Assumptions!$C$6)+'ARR Model'!H$14</f>
        <v>106.85652590335</v>
      </c>
      <c r="I116" s="32" t="n">
        <f aca="false">H116*(1-$A116+Assumptions!$C$6)+'ARR Model'!I$14</f>
        <v>106.579416822484</v>
      </c>
      <c r="J116" s="32" t="n">
        <f aca="false">I116*(1-$A116+Assumptions!$C$6)+'ARR Model'!J$14</f>
        <v>107.781084377708</v>
      </c>
      <c r="K116" s="32" t="n">
        <f aca="false">J116*(1-$A116+Assumptions!$C$6)+'ARR Model'!K$14</f>
        <v>109.760084929055</v>
      </c>
      <c r="L116" s="32" t="n">
        <f aca="false">K116*(1-$A116+Assumptions!$C$6)+'ARR Model'!L$14</f>
        <v>112.03899478952</v>
      </c>
      <c r="M116" s="32" t="n">
        <f aca="false">SUMPRODUCT((B116:K116+C116:L116)/2*Inputs!$B$36,'ARR Model'!$C$10:$L$10,DCF!$C$5:$L$5)+AVERAGE(K116,L116)*Inputs!$B$36*'ARR Model'!$L$10*(1+Assumptions!$C$14)/(Assumptions!$C$13-Assumptions!$C$14)*DCF!$L$5</f>
        <v>350.722877720233</v>
      </c>
      <c r="N116" s="28" t="n">
        <f aca="false">(M116+Inputs!$B$9-Inputs!$B$10)/Inputs!$B$6*Inputs!$B$7</f>
        <v>17.4299101236685</v>
      </c>
    </row>
    <row r="117" customFormat="false" ht="15" hidden="false" customHeight="false" outlineLevel="0" collapsed="false">
      <c r="A117" s="18" t="n">
        <v>0.435</v>
      </c>
      <c r="B117" s="31" t="n">
        <f aca="false">'ARR Model'!$B$17</f>
        <v>255.1</v>
      </c>
      <c r="C117" s="32" t="n">
        <f aca="false">B117*(1-$A117+Assumptions!$C$6)+'ARR Model'!C$14</f>
        <v>190.9239</v>
      </c>
      <c r="D117" s="32" t="n">
        <f aca="false">C117*(1-$A117+Assumptions!$C$6)+'ARR Model'!D$14</f>
        <v>151.4798295</v>
      </c>
      <c r="E117" s="32" t="n">
        <f aca="false">D117*(1-$A117+Assumptions!$C$6)+'ARR Model'!E$14</f>
        <v>127.958813754167</v>
      </c>
      <c r="F117" s="32" t="n">
        <f aca="false">E117*(1-$A117+Assumptions!$C$6)+'ARR Model'!F$14</f>
        <v>114.653441894582</v>
      </c>
      <c r="G117" s="32" t="n">
        <f aca="false">F117*(1-$A117+Assumptions!$C$6)+'ARR Model'!G$14</f>
        <v>107.855921879769</v>
      </c>
      <c r="H117" s="32" t="n">
        <f aca="false">G117*(1-$A117+Assumptions!$C$6)+'ARR Model'!H$14</f>
        <v>105.147908256515</v>
      </c>
      <c r="I117" s="32" t="n">
        <f aca="false">H117*(1-$A117+Assumptions!$C$6)+'ARR Model'!I$14</f>
        <v>104.943075810759</v>
      </c>
      <c r="J117" s="32" t="n">
        <f aca="false">I117*(1-$A117+Assumptions!$C$6)+'ARR Model'!J$14</f>
        <v>106.192747341033</v>
      </c>
      <c r="K117" s="32" t="n">
        <f aca="false">J117*(1-$A117+Assumptions!$C$6)+'ARR Model'!K$14</f>
        <v>108.196702118511</v>
      </c>
      <c r="L117" s="32" t="n">
        <f aca="false">K117*(1-$A117+Assumptions!$C$6)+'ARR Model'!L$14</f>
        <v>110.481812452074</v>
      </c>
      <c r="M117" s="32" t="n">
        <f aca="false">SUMPRODUCT((B117:K117+C117:L117)/2*Inputs!$B$36,'ARR Model'!$C$10:$L$10,DCF!$C$5:$L$5)+AVERAGE(K117,L117)*Inputs!$B$36*'ARR Model'!$L$10*(1+Assumptions!$C$14)/(Assumptions!$C$13-Assumptions!$C$14)*DCF!$L$5</f>
        <v>346.326308259405</v>
      </c>
      <c r="N117" s="28" t="n">
        <f aca="false">(M117+Inputs!$B$9-Inputs!$B$10)/Inputs!$B$6*Inputs!$B$7</f>
        <v>17.1814466791888</v>
      </c>
    </row>
    <row r="118" customFormat="false" ht="15" hidden="false" customHeight="false" outlineLevel="0" collapsed="false">
      <c r="A118" s="18" t="n">
        <v>0.44</v>
      </c>
      <c r="B118" s="31" t="n">
        <f aca="false">'ARR Model'!$B$17</f>
        <v>255.1</v>
      </c>
      <c r="C118" s="32" t="n">
        <f aca="false">B118*(1-$A118+Assumptions!$C$6)+'ARR Model'!C$14</f>
        <v>189.6484</v>
      </c>
      <c r="D118" s="32" t="n">
        <f aca="false">C118*(1-$A118+Assumptions!$C$6)+'ARR Model'!D$14</f>
        <v>149.70889</v>
      </c>
      <c r="E118" s="32" t="n">
        <f aca="false">D118*(1-$A118+Assumptions!$C$6)+'ARR Model'!E$14</f>
        <v>126.068013326667</v>
      </c>
      <c r="F118" s="32" t="n">
        <f aca="false">E118*(1-$A118+Assumptions!$C$6)+'ARR Model'!F$14</f>
        <v>112.803535552211</v>
      </c>
      <c r="G118" s="32" t="n">
        <f aca="false">F118*(1-$A118+Assumptions!$C$6)+'ARR Model'!G$14</f>
        <v>106.098714611179</v>
      </c>
      <c r="H118" s="32" t="n">
        <f aca="false">G118*(1-$A118+Assumptions!$C$6)+'ARR Model'!H$14</f>
        <v>103.484015995218</v>
      </c>
      <c r="I118" s="32" t="n">
        <f aca="false">H118*(1-$A118+Assumptions!$C$6)+'ARR Model'!I$14</f>
        <v>103.352445222247</v>
      </c>
      <c r="J118" s="32" t="n">
        <f aca="false">I118*(1-$A118+Assumptions!$C$6)+'ARR Model'!J$14</f>
        <v>104.650028385331</v>
      </c>
      <c r="K118" s="32" t="n">
        <f aca="false">J118*(1-$A118+Assumptions!$C$6)+'ARR Model'!K$14</f>
        <v>106.678398250157</v>
      </c>
      <c r="L118" s="32" t="n">
        <f aca="false">K118*(1-$A118+Assumptions!$C$6)+'ARR Model'!L$14</f>
        <v>108.969114465734</v>
      </c>
      <c r="M118" s="32" t="n">
        <f aca="false">SUMPRODUCT((B118:K118+C118:L118)/2*Inputs!$B$36,'ARR Model'!$C$10:$L$10,DCF!$C$5:$L$5)+AVERAGE(K118,L118)*Inputs!$B$36*'ARR Model'!$L$10*(1+Assumptions!$C$14)/(Assumptions!$C$13-Assumptions!$C$14)*DCF!$L$5</f>
        <v>342.031857355569</v>
      </c>
      <c r="N118" s="28" t="n">
        <f aca="false">(M118+Inputs!$B$9-Inputs!$B$10)/Inputs!$B$6*Inputs!$B$7</f>
        <v>16.9387542633809</v>
      </c>
    </row>
    <row r="119" customFormat="false" ht="15" hidden="false" customHeight="false" outlineLevel="0" collapsed="false">
      <c r="A119" s="18" t="n">
        <v>0.445</v>
      </c>
      <c r="B119" s="31" t="n">
        <f aca="false">'ARR Model'!$B$17</f>
        <v>255.1</v>
      </c>
      <c r="C119" s="32" t="n">
        <f aca="false">B119*(1-$A119+Assumptions!$C$6)+'ARR Model'!C$14</f>
        <v>188.3729</v>
      </c>
      <c r="D119" s="32" t="n">
        <f aca="false">C119*(1-$A119+Assumptions!$C$6)+'ARR Model'!D$14</f>
        <v>147.9507055</v>
      </c>
      <c r="E119" s="32" t="n">
        <f aca="false">D119*(1-$A119+Assumptions!$C$6)+'ARR Model'!E$14</f>
        <v>124.203021719167</v>
      </c>
      <c r="F119" s="32" t="n">
        <f aca="false">E119*(1-$A119+Assumptions!$C$6)+'ARR Model'!F$14</f>
        <v>110.988925814815</v>
      </c>
      <c r="G119" s="32" t="n">
        <f aca="false">F119*(1-$A119+Assumptions!$C$6)+'ARR Model'!G$14</f>
        <v>104.382419750171</v>
      </c>
      <c r="H119" s="32" t="n">
        <f aca="false">G119*(1-$A119+Assumptions!$C$6)+'ARR Model'!H$14</f>
        <v>101.863675185423</v>
      </c>
      <c r="I119" s="32" t="n">
        <f aca="false">H119*(1-$A119+Assumptions!$C$6)+'ARR Model'!I$14</f>
        <v>101.80610872805</v>
      </c>
      <c r="J119" s="32" t="n">
        <f aca="false">I119*(1-$A119+Assumptions!$C$6)+'ARR Model'!J$14</f>
        <v>103.151342485405</v>
      </c>
      <c r="K119" s="32" t="n">
        <f aca="false">J119*(1-$A119+Assumptions!$C$6)+'ARR Model'!K$14</f>
        <v>105.203482561777</v>
      </c>
      <c r="L119" s="32" t="n">
        <f aca="false">K119*(1-$A119+Assumptions!$C$6)+'ARR Model'!L$14</f>
        <v>107.499151012362</v>
      </c>
      <c r="M119" s="32" t="n">
        <f aca="false">SUMPRODUCT((B119:K119+C119:L119)/2*Inputs!$B$36,'ARR Model'!$C$10:$L$10,DCF!$C$5:$L$5)+AVERAGE(K119,L119)*Inputs!$B$36*'ARR Model'!$L$10*(1+Assumptions!$C$14)/(Assumptions!$C$13-Assumptions!$C$14)*DCF!$L$5</f>
        <v>337.836218164159</v>
      </c>
      <c r="N119" s="28" t="n">
        <f aca="false">(M119+Inputs!$B$9-Inputs!$B$10)/Inputs!$B$6*Inputs!$B$7</f>
        <v>16.7016459964515</v>
      </c>
    </row>
    <row r="120" customFormat="false" ht="15" hidden="false" customHeight="false" outlineLevel="0" collapsed="false">
      <c r="A120" s="18" t="n">
        <v>0.45</v>
      </c>
      <c r="B120" s="31" t="n">
        <f aca="false">'ARR Model'!$B$17</f>
        <v>255.1</v>
      </c>
      <c r="C120" s="32" t="n">
        <f aca="false">B120*(1-$A120+Assumptions!$C$6)+'ARR Model'!C$14</f>
        <v>187.0974</v>
      </c>
      <c r="D120" s="32" t="n">
        <f aca="false">C120*(1-$A120+Assumptions!$C$6)+'ARR Model'!D$14</f>
        <v>146.205276</v>
      </c>
      <c r="E120" s="32" t="n">
        <f aca="false">D120*(1-$A120+Assumptions!$C$6)+'ARR Model'!E$14</f>
        <v>122.363647606667</v>
      </c>
      <c r="F120" s="32" t="n">
        <f aca="false">E120*(1-$A120+Assumptions!$C$6)+'ARR Model'!F$14</f>
        <v>109.209105015344</v>
      </c>
      <c r="G120" s="32" t="n">
        <f aca="false">F120*(1-$A120+Assumptions!$C$6)+'ARR Model'!G$14</f>
        <v>102.706188017431</v>
      </c>
      <c r="H120" s="32" t="n">
        <f aca="false">G120*(1-$A120+Assumptions!$C$6)+'ARR Model'!H$14</f>
        <v>100.285737095045</v>
      </c>
      <c r="I120" s="32" t="n">
        <f aca="false">H120*(1-$A120+Assumptions!$C$6)+'ARR Model'!I$14</f>
        <v>100.302689355185</v>
      </c>
      <c r="J120" s="32" t="n">
        <f aca="false">I120*(1-$A120+Assumptions!$C$6)+'ARR Model'!J$14</f>
        <v>101.69515773686</v>
      </c>
      <c r="K120" s="32" t="n">
        <f aca="false">J120*(1-$A120+Assumptions!$C$6)+'ARR Model'!K$14</f>
        <v>103.770329457767</v>
      </c>
      <c r="L120" s="32" t="n">
        <f aca="false">K120*(1-$A120+Assumptions!$C$6)+'ARR Model'!L$14</f>
        <v>106.070247144027</v>
      </c>
      <c r="M120" s="32" t="n">
        <f aca="false">SUMPRODUCT((B120:K120+C120:L120)/2*Inputs!$B$36,'ARR Model'!$C$10:$L$10,DCF!$C$5:$L$5)+AVERAGE(K120,L120)*Inputs!$B$36*'ARR Model'!$L$10*(1+Assumptions!$C$14)/(Assumptions!$C$13-Assumptions!$C$14)*DCF!$L$5</f>
        <v>333.736204166418</v>
      </c>
      <c r="N120" s="28" t="n">
        <f aca="false">(M120+Inputs!$B$9-Inputs!$B$10)/Inputs!$B$6*Inputs!$B$7</f>
        <v>16.4699417985831</v>
      </c>
    </row>
    <row r="121" customFormat="false" ht="15" hidden="false" customHeight="false" outlineLevel="0" collapsed="false">
      <c r="A121" s="18" t="n">
        <v>0.455</v>
      </c>
      <c r="B121" s="31" t="n">
        <f aca="false">'ARR Model'!$B$17</f>
        <v>255.1</v>
      </c>
      <c r="C121" s="32" t="n">
        <f aca="false">B121*(1-$A121+Assumptions!$C$6)+'ARR Model'!C$14</f>
        <v>185.8219</v>
      </c>
      <c r="D121" s="32" t="n">
        <f aca="false">C121*(1-$A121+Assumptions!$C$6)+'ARR Model'!D$14</f>
        <v>144.4726015</v>
      </c>
      <c r="E121" s="32" t="n">
        <f aca="false">D121*(1-$A121+Assumptions!$C$6)+'ARR Model'!E$14</f>
        <v>120.549699664167</v>
      </c>
      <c r="F121" s="32" t="n">
        <f aca="false">E121*(1-$A121+Assumptions!$C$6)+'ARR Model'!F$14</f>
        <v>107.463569313249</v>
      </c>
      <c r="G121" s="32" t="n">
        <f aca="false">F121*(1-$A121+Assumptions!$C$6)+'ARR Model'!G$14</f>
        <v>101.069182678544</v>
      </c>
      <c r="H121" s="32" t="n">
        <f aca="false">G121*(1-$A121+Assumptions!$C$6)+'ARR Model'!H$14</f>
        <v>98.7490778181541</v>
      </c>
      <c r="I121" s="32" t="n">
        <f aca="false">H121*(1-$A121+Assumptions!$C$6)+'ARR Model'!I$14</f>
        <v>98.8408486216532</v>
      </c>
      <c r="J121" s="32" t="n">
        <f aca="false">I121*(1-$A121+Assumptions!$C$6)+'ARR Model'!J$14</f>
        <v>100.279993831627</v>
      </c>
      <c r="K121" s="32" t="n">
        <f aca="false">J121*(1-$A121+Assumptions!$C$6)+'ARR Model'!K$14</f>
        <v>102.377376228312</v>
      </c>
      <c r="L121" s="32" t="n">
        <f aca="false">K121*(1-$A121+Assumptions!$C$6)+'ARR Model'!L$14</f>
        <v>104.680799728329</v>
      </c>
      <c r="M121" s="32" t="n">
        <f aca="false">SUMPRODUCT((B121:K121+C121:L121)/2*Inputs!$B$36,'ARR Model'!$C$10:$L$10,DCF!$C$5:$L$5)+AVERAGE(K121,L121)*Inputs!$B$36*'ARR Model'!$L$10*(1+Assumptions!$C$14)/(Assumptions!$C$13-Assumptions!$C$14)*DCF!$L$5</f>
        <v>329.728744891447</v>
      </c>
      <c r="N121" s="28" t="n">
        <f aca="false">(M121+Inputs!$B$9-Inputs!$B$10)/Inputs!$B$6*Inputs!$B$7</f>
        <v>16.2434681481739</v>
      </c>
    </row>
    <row r="122" customFormat="false" ht="15" hidden="false" customHeight="false" outlineLevel="0" collapsed="false">
      <c r="A122" s="18" t="n">
        <v>0.46</v>
      </c>
      <c r="B122" s="31" t="n">
        <f aca="false">'ARR Model'!$B$17</f>
        <v>255.1</v>
      </c>
      <c r="C122" s="32" t="n">
        <f aca="false">B122*(1-$A122+Assumptions!$C$6)+'ARR Model'!C$14</f>
        <v>184.5464</v>
      </c>
      <c r="D122" s="32" t="n">
        <f aca="false">C122*(1-$A122+Assumptions!$C$6)+'ARR Model'!D$14</f>
        <v>142.752682</v>
      </c>
      <c r="E122" s="32" t="n">
        <f aca="false">D122*(1-$A122+Assumptions!$C$6)+'ARR Model'!E$14</f>
        <v>118.760986566667</v>
      </c>
      <c r="F122" s="32" t="n">
        <f aca="false">E122*(1-$A122+Assumptions!$C$6)+'ARR Model'!F$14</f>
        <v>105.751818694478</v>
      </c>
      <c r="G122" s="32" t="n">
        <f aca="false">F122*(1-$A122+Assumptions!$C$6)+'ARR Model'!G$14</f>
        <v>99.4705794483398</v>
      </c>
      <c r="H122" s="32" t="n">
        <f aca="false">G122*(1-$A122+Assumptions!$C$6)+'ARR Model'!H$14</f>
        <v>97.2525979020348</v>
      </c>
      <c r="I122" s="32" t="n">
        <f aca="false">H122*(1-$A122+Assumptions!$C$6)+'ARR Model'!I$14</f>
        <v>97.4192856845685</v>
      </c>
      <c r="J122" s="32" t="n">
        <f aca="false">I122*(1-$A122+Assumptions!$C$6)+'ARR Model'!J$14</f>
        <v>98.9044205675258</v>
      </c>
      <c r="K122" s="32" t="n">
        <f aca="false">J122*(1-$A122+Assumptions!$C$6)+'ARR Model'!K$14</f>
        <v>101.023120835411</v>
      </c>
      <c r="L122" s="32" t="n">
        <f aca="false">K122*(1-$A122+Assumptions!$C$6)+'ARR Model'!L$14</f>
        <v>103.329274503589</v>
      </c>
      <c r="M122" s="32" t="n">
        <f aca="false">SUMPRODUCT((B122:K122+C122:L122)/2*Inputs!$B$36,'ARR Model'!$C$10:$L$10,DCF!$C$5:$L$5)+AVERAGE(K122,L122)*Inputs!$B$36*'ARR Model'!$L$10*(1+Assumptions!$C$14)/(Assumptions!$C$13-Assumptions!$C$14)*DCF!$L$5</f>
        <v>325.810881773924</v>
      </c>
      <c r="N122" s="28" t="n">
        <f aca="false">(M122+Inputs!$B$9-Inputs!$B$10)/Inputs!$B$6*Inputs!$B$7</f>
        <v>16.0220578477448</v>
      </c>
    </row>
    <row r="123" customFormat="false" ht="15" hidden="false" customHeight="false" outlineLevel="0" collapsed="false">
      <c r="A123" s="18" t="n">
        <v>0.465</v>
      </c>
      <c r="B123" s="31" t="n">
        <f aca="false">'ARR Model'!$B$17</f>
        <v>255.1</v>
      </c>
      <c r="C123" s="32" t="n">
        <f aca="false">B123*(1-$A123+Assumptions!$C$6)+'ARR Model'!C$14</f>
        <v>183.2709</v>
      </c>
      <c r="D123" s="32" t="n">
        <f aca="false">C123*(1-$A123+Assumptions!$C$6)+'ARR Model'!D$14</f>
        <v>141.0455175</v>
      </c>
      <c r="E123" s="32" t="n">
        <f aca="false">D123*(1-$A123+Assumptions!$C$6)+'ARR Model'!E$14</f>
        <v>116.997316989167</v>
      </c>
      <c r="F123" s="32" t="n">
        <f aca="false">E123*(1-$A123+Assumptions!$C$6)+'ARR Model'!F$14</f>
        <v>104.073356971482</v>
      </c>
      <c r="G123" s="32" t="n">
        <f aca="false">F123*(1-$A123+Assumptions!$C$6)+'ARR Model'!G$14</f>
        <v>97.9095663952249</v>
      </c>
      <c r="H123" s="32" t="n">
        <f aca="false">G123*(1-$A123+Assumptions!$C$6)+'ARR Model'!H$14</f>
        <v>95.7952219771275</v>
      </c>
      <c r="I123" s="32" t="n">
        <f aca="false">H123*(1-$A123+Assumptions!$C$6)+'ARR Model'!I$14</f>
        <v>96.0367365012403</v>
      </c>
      <c r="J123" s="32" t="n">
        <f aca="false">I123*(1-$A123+Assumptions!$C$6)+'ARR Model'!J$14</f>
        <v>97.5670563913561</v>
      </c>
      <c r="K123" s="32" t="n">
        <f aca="false">J123*(1-$A123+Assumptions!$C$6)+'ARR Model'!K$14</f>
        <v>99.7061197642291</v>
      </c>
      <c r="L123" s="32" t="n">
        <f aca="false">K123*(1-$A123+Assumptions!$C$6)+'ARR Model'!L$14</f>
        <v>102.014203240635</v>
      </c>
      <c r="M123" s="32" t="n">
        <f aca="false">SUMPRODUCT((B123:K123+C123:L123)/2*Inputs!$B$36,'ARR Model'!$C$10:$L$10,DCF!$C$5:$L$5)+AVERAGE(K123,L123)*Inputs!$B$36*'ARR Model'!$L$10*(1+Assumptions!$C$14)/(Assumptions!$C$13-Assumptions!$C$14)*DCF!$L$5</f>
        <v>321.979764143901</v>
      </c>
      <c r="N123" s="28" t="n">
        <f aca="false">(M123+Inputs!$B$9-Inputs!$B$10)/Inputs!$B$6*Inputs!$B$7</f>
        <v>15.8055497973107</v>
      </c>
    </row>
    <row r="124" customFormat="false" ht="15" hidden="false" customHeight="false" outlineLevel="0" collapsed="false">
      <c r="A124" s="18" t="n">
        <v>0.47</v>
      </c>
      <c r="B124" s="31" t="n">
        <f aca="false">'ARR Model'!$B$17</f>
        <v>255.1</v>
      </c>
      <c r="C124" s="32" t="n">
        <f aca="false">B124*(1-$A124+Assumptions!$C$6)+'ARR Model'!C$14</f>
        <v>181.9954</v>
      </c>
      <c r="D124" s="32" t="n">
        <f aca="false">C124*(1-$A124+Assumptions!$C$6)+'ARR Model'!D$14</f>
        <v>139.351108</v>
      </c>
      <c r="E124" s="32" t="n">
        <f aca="false">D124*(1-$A124+Assumptions!$C$6)+'ARR Model'!E$14</f>
        <v>115.258499606667</v>
      </c>
      <c r="F124" s="32" t="n">
        <f aca="false">E124*(1-$A124+Assumptions!$C$6)+'ARR Model'!F$14</f>
        <v>102.427691783211</v>
      </c>
      <c r="G124" s="32" t="n">
        <f aca="false">F124*(1-$A124+Assumptions!$C$6)+'ARR Model'!G$14</f>
        <v>96.3853438455223</v>
      </c>
      <c r="H124" s="32" t="n">
        <f aca="false">G124*(1-$A124+Assumptions!$C$6)+'ARR Model'!H$14</f>
        <v>94.3758983898327</v>
      </c>
      <c r="I124" s="32" t="n">
        <f aca="false">H124*(1-$A124+Assumptions!$C$6)+'ARR Model'!I$14</f>
        <v>94.6919730031049</v>
      </c>
      <c r="J124" s="32" t="n">
        <f aca="false">I124*(1-$A124+Assumptions!$C$6)+'ARR Model'!J$14</f>
        <v>96.2665669749873</v>
      </c>
      <c r="K124" s="32" t="n">
        <f aca="false">J124*(1-$A124+Assumptions!$C$6)+'ARR Model'!K$14</f>
        <v>98.4249859382874</v>
      </c>
      <c r="L124" s="32" t="n">
        <f aca="false">K124*(1-$A124+Assumptions!$C$6)+'ARR Model'!L$14</f>
        <v>100.734181007989</v>
      </c>
      <c r="M124" s="32" t="n">
        <f aca="false">SUMPRODUCT((B124:K124+C124:L124)/2*Inputs!$B$36,'ARR Model'!$C$10:$L$10,DCF!$C$5:$L$5)+AVERAGE(K124,L124)*Inputs!$B$36*'ARR Model'!$L$10*(1+Assumptions!$C$14)/(Assumptions!$C$13-Assumptions!$C$14)*DCF!$L$5</f>
        <v>318.2326453452</v>
      </c>
      <c r="N124" s="28" t="n">
        <f aca="false">(M124+Inputs!$B$9-Inputs!$B$10)/Inputs!$B$6*Inputs!$B$7</f>
        <v>15.5937887750193</v>
      </c>
    </row>
    <row r="125" customFormat="false" ht="15" hidden="false" customHeight="false" outlineLevel="0" collapsed="false">
      <c r="A125" s="18" t="n">
        <v>0.475</v>
      </c>
      <c r="B125" s="31" t="n">
        <f aca="false">'ARR Model'!$B$17</f>
        <v>255.1</v>
      </c>
      <c r="C125" s="32" t="n">
        <f aca="false">B125*(1-$A125+Assumptions!$C$6)+'ARR Model'!C$14</f>
        <v>180.7199</v>
      </c>
      <c r="D125" s="32" t="n">
        <f aca="false">C125*(1-$A125+Assumptions!$C$6)+'ARR Model'!D$14</f>
        <v>137.6694535</v>
      </c>
      <c r="E125" s="32" t="n">
        <f aca="false">D125*(1-$A125+Assumptions!$C$6)+'ARR Model'!E$14</f>
        <v>113.544343094167</v>
      </c>
      <c r="F125" s="32" t="n">
        <f aca="false">E125*(1-$A125+Assumptions!$C$6)+'ARR Model'!F$14</f>
        <v>100.814334595115</v>
      </c>
      <c r="G125" s="32" t="n">
        <f aca="false">F125*(1-$A125+Assumptions!$C$6)+'ARR Model'!G$14</f>
        <v>94.8971242878083</v>
      </c>
      <c r="H125" s="32" t="n">
        <f aca="false">G125*(1-$A125+Assumptions!$C$6)+'ARR Model'!H$14</f>
        <v>92.9935988381882</v>
      </c>
      <c r="I125" s="32" t="n">
        <f aca="false">H125*(1-$A125+Assumptions!$C$6)+'ARR Model'!I$14</f>
        <v>93.3838022824107</v>
      </c>
      <c r="J125" s="32" t="n">
        <f aca="false">I125*(1-$A125+Assumptions!$C$6)+'ARR Model'!J$14</f>
        <v>95.0016638239518</v>
      </c>
      <c r="K125" s="32" t="n">
        <f aca="false">J125*(1-$A125+Assumptions!$C$6)+'ARR Model'!K$14</f>
        <v>97.178386697036</v>
      </c>
      <c r="L125" s="32" t="n">
        <f aca="false">K125*(1-$A125+Assumptions!$C$6)+'ARR Model'!L$14</f>
        <v>99.4878635373405</v>
      </c>
      <c r="M125" s="32" t="n">
        <f aca="false">SUMPRODUCT((B125:K125+C125:L125)/2*Inputs!$B$36,'ARR Model'!$C$10:$L$10,DCF!$C$5:$L$5)+AVERAGE(K125,L125)*Inputs!$B$36*'ARR Model'!$L$10*(1+Assumptions!$C$14)/(Assumptions!$C$13-Assumptions!$C$14)*DCF!$L$5</f>
        <v>314.566878978982</v>
      </c>
      <c r="N125" s="28" t="n">
        <f aca="false">(M125+Inputs!$B$9-Inputs!$B$10)/Inputs!$B$6*Inputs!$B$7</f>
        <v>15.3866252248643</v>
      </c>
    </row>
    <row r="126" customFormat="false" ht="15" hidden="false" customHeight="false" outlineLevel="0" collapsed="false">
      <c r="A126" s="18" t="n">
        <v>0.48</v>
      </c>
      <c r="B126" s="31" t="n">
        <f aca="false">'ARR Model'!$B$17</f>
        <v>255.1</v>
      </c>
      <c r="C126" s="32" t="n">
        <f aca="false">B126*(1-$A126+Assumptions!$C$6)+'ARR Model'!C$14</f>
        <v>179.4444</v>
      </c>
      <c r="D126" s="32" t="n">
        <f aca="false">C126*(1-$A126+Assumptions!$C$6)+'ARR Model'!D$14</f>
        <v>136.000554</v>
      </c>
      <c r="E126" s="32" t="n">
        <f aca="false">D126*(1-$A126+Assumptions!$C$6)+'ARR Model'!E$14</f>
        <v>111.854656126667</v>
      </c>
      <c r="F126" s="32" t="n">
        <f aca="false">E126*(1-$A126+Assumptions!$C$6)+'ARR Model'!F$14</f>
        <v>99.2328006991444</v>
      </c>
      <c r="G126" s="32" t="n">
        <f aca="false">F126*(1-$A126+Assumptions!$C$6)+'ARR Model'!G$14</f>
        <v>93.4441322772503</v>
      </c>
      <c r="H126" s="32" t="n">
        <f aca="false">G126*(1-$A126+Assumptions!$C$6)+'ARR Model'!H$14</f>
        <v>91.6473180104143</v>
      </c>
      <c r="I126" s="32" t="n">
        <f aca="false">H126*(1-$A126+Assumptions!$C$6)+'ARR Model'!I$14</f>
        <v>92.1110657915555</v>
      </c>
      <c r="J126" s="32" t="n">
        <f aca="false">I126*(1-$A126+Assumptions!$C$6)+'ARR Model'!J$14</f>
        <v>93.7711029180266</v>
      </c>
      <c r="K126" s="32" t="n">
        <f aca="false">J126*(1-$A126+Assumptions!$C$6)+'ARR Model'!K$14</f>
        <v>95.9650418343611</v>
      </c>
      <c r="L126" s="32" t="n">
        <f aca="false">K126*(1-$A126+Assumptions!$C$6)+'ARR Model'!L$14</f>
        <v>98.2739646862504</v>
      </c>
      <c r="M126" s="32" t="n">
        <f aca="false">SUMPRODUCT((B126:K126+C126:L126)/2*Inputs!$B$36,'ARR Model'!$C$10:$L$10,DCF!$C$5:$L$5)+AVERAGE(K126,L126)*Inputs!$B$36*'ARR Model'!$L$10*(1+Assumptions!$C$14)/(Assumptions!$C$13-Assumptions!$C$14)*DCF!$L$5</f>
        <v>310.979915269137</v>
      </c>
      <c r="N126" s="28" t="n">
        <f aca="false">(M126+Inputs!$B$9-Inputs!$B$10)/Inputs!$B$6*Inputs!$B$7</f>
        <v>15.1839150512819</v>
      </c>
    </row>
    <row r="127" customFormat="false" ht="15" hidden="false" customHeight="false" outlineLevel="0" collapsed="false">
      <c r="A127" s="18" t="n">
        <v>0.485</v>
      </c>
      <c r="B127" s="31" t="n">
        <f aca="false">'ARR Model'!$B$17</f>
        <v>255.1</v>
      </c>
      <c r="C127" s="32" t="n">
        <f aca="false">B127*(1-$A127+Assumptions!$C$6)+'ARR Model'!C$14</f>
        <v>178.1689</v>
      </c>
      <c r="D127" s="32" t="n">
        <f aca="false">C127*(1-$A127+Assumptions!$C$6)+'ARR Model'!D$14</f>
        <v>134.3444095</v>
      </c>
      <c r="E127" s="32" t="n">
        <f aca="false">D127*(1-$A127+Assumptions!$C$6)+'ARR Model'!E$14</f>
        <v>110.189247379167</v>
      </c>
      <c r="F127" s="32" t="n">
        <f aca="false">E127*(1-$A127+Assumptions!$C$6)+'ARR Model'!F$14</f>
        <v>97.6826092137486</v>
      </c>
      <c r="G127" s="32" t="n">
        <f aca="false">F127*(1-$A127+Assumptions!$C$6)+'ARR Model'!G$14</f>
        <v>92.025604339944</v>
      </c>
      <c r="H127" s="32" t="n">
        <f aca="false">G127*(1-$A127+Assumptions!$C$6)+'ARR Model'!H$14</f>
        <v>90.3360732263308</v>
      </c>
      <c r="I127" s="32" t="n">
        <f aca="false">H127*(1-$A127+Assumptions!$C$6)+'ARR Model'!I$14</f>
        <v>90.8726385549737</v>
      </c>
      <c r="J127" s="32" t="n">
        <f aca="false">I127*(1-$A127+Assumptions!$C$6)+'ARR Model'!J$14</f>
        <v>92.5736833833027</v>
      </c>
      <c r="K127" s="32" t="n">
        <f aca="false">J127*(1-$A127+Assumptions!$C$6)+'ARR Model'!K$14</f>
        <v>94.7837216966102</v>
      </c>
      <c r="L127" s="32" t="n">
        <f aca="false">K127*(1-$A127+Assumptions!$C$6)+'ARR Model'!L$14</f>
        <v>97.0912539951168</v>
      </c>
      <c r="M127" s="32" t="n">
        <f aca="false">SUMPRODUCT((B127:K127+C127:L127)/2*Inputs!$B$36,'ARR Model'!$C$10:$L$10,DCF!$C$5:$L$5)+AVERAGE(K127,L127)*Inputs!$B$36*'ARR Model'!$L$10*(1+Assumptions!$C$14)/(Assumptions!$C$13-Assumptions!$C$14)*DCF!$L$5</f>
        <v>307.4692975462</v>
      </c>
      <c r="N127" s="28" t="n">
        <f aca="false">(M127+Inputs!$B$9-Inputs!$B$10)/Inputs!$B$6*Inputs!$B$7</f>
        <v>14.9855194204466</v>
      </c>
    </row>
    <row r="128" customFormat="false" ht="15" hidden="false" customHeight="false" outlineLevel="0" collapsed="false">
      <c r="A128" s="18" t="n">
        <v>0.49</v>
      </c>
      <c r="B128" s="31" t="n">
        <f aca="false">'ARR Model'!$B$17</f>
        <v>255.1</v>
      </c>
      <c r="C128" s="32" t="n">
        <f aca="false">B128*(1-$A128+Assumptions!$C$6)+'ARR Model'!C$14</f>
        <v>176.8934</v>
      </c>
      <c r="D128" s="32" t="n">
        <f aca="false">C128*(1-$A128+Assumptions!$C$6)+'ARR Model'!D$14</f>
        <v>132.70102</v>
      </c>
      <c r="E128" s="32" t="n">
        <f aca="false">D128*(1-$A128+Assumptions!$C$6)+'ARR Model'!E$14</f>
        <v>108.547925526667</v>
      </c>
      <c r="F128" s="32" t="n">
        <f aca="false">E128*(1-$A128+Assumptions!$C$6)+'ARR Model'!F$14</f>
        <v>96.1632830838778</v>
      </c>
      <c r="G128" s="32" t="n">
        <f aca="false">F128*(1-$A128+Assumptions!$C$6)+'ARR Model'!G$14</f>
        <v>90.6407888772515</v>
      </c>
      <c r="H128" s="32" t="n">
        <f aca="false">G128*(1-$A128+Assumptions!$C$6)+'ARR Model'!H$14</f>
        <v>89.0589040816425</v>
      </c>
      <c r="I128" s="32" t="n">
        <f aca="false">H128*(1-$A128+Assumptions!$C$6)+'ARR Model'!I$14</f>
        <v>89.6674283934759</v>
      </c>
      <c r="J128" s="32" t="n">
        <f aca="false">I128*(1-$A128+Assumptions!$C$6)+'ARR Model'!J$14</f>
        <v>91.4082461952441</v>
      </c>
      <c r="K128" s="32" t="n">
        <f aca="false">J128*(1-$A128+Assumptions!$C$6)+'ARR Model'!K$14</f>
        <v>93.6332453387392</v>
      </c>
      <c r="L128" s="32" t="n">
        <f aca="false">K128*(1-$A128+Assumptions!$C$6)+'ARR Model'!L$14</f>
        <v>95.9385543354898</v>
      </c>
      <c r="M128" s="32" t="n">
        <f aca="false">SUMPRODUCT((B128:K128+C128:L128)/2*Inputs!$B$36,'ARR Model'!$C$10:$L$10,DCF!$C$5:$L$5)+AVERAGE(K128,L128)*Inputs!$B$36*'ARR Model'!$L$10*(1+Assumptions!$C$14)/(Assumptions!$C$13-Assumptions!$C$14)*DCF!$L$5</f>
        <v>304.03265884659</v>
      </c>
      <c r="N128" s="28" t="n">
        <f aca="false">(M128+Inputs!$B$9-Inputs!$B$10)/Inputs!$B$6*Inputs!$B$7</f>
        <v>14.7913045680838</v>
      </c>
    </row>
    <row r="129" customFormat="false" ht="15" hidden="false" customHeight="false" outlineLevel="0" collapsed="false">
      <c r="A129" s="18" t="n">
        <v>0.495</v>
      </c>
      <c r="B129" s="31" t="n">
        <f aca="false">'ARR Model'!$B$17</f>
        <v>255.1</v>
      </c>
      <c r="C129" s="32" t="n">
        <f aca="false">B129*(1-$A129+Assumptions!$C$6)+'ARR Model'!C$14</f>
        <v>175.6179</v>
      </c>
      <c r="D129" s="32" t="n">
        <f aca="false">C129*(1-$A129+Assumptions!$C$6)+'ARR Model'!D$14</f>
        <v>131.0703855</v>
      </c>
      <c r="E129" s="32" t="n">
        <f aca="false">D129*(1-$A129+Assumptions!$C$6)+'ARR Model'!E$14</f>
        <v>106.930499244167</v>
      </c>
      <c r="F129" s="32" t="n">
        <f aca="false">E129*(1-$A129+Assumptions!$C$6)+'ARR Model'!F$14</f>
        <v>94.6743490809819</v>
      </c>
      <c r="G129" s="32" t="n">
        <f aca="false">F129*(1-$A129+Assumptions!$C$6)+'ARR Model'!G$14</f>
        <v>89.288946070138</v>
      </c>
      <c r="H129" s="32" t="n">
        <f aca="false">G129*(1-$A129+Assumptions!$C$6)+'ARR Model'!H$14</f>
        <v>87.8148720950948</v>
      </c>
      <c r="I129" s="32" t="n">
        <f aca="false">H129*(1-$A129+Assumptions!$C$6)+'ARR Model'!I$14</f>
        <v>88.4943751609374</v>
      </c>
      <c r="J129" s="32" t="n">
        <f aca="false">I129*(1-$A129+Assumptions!$C$6)+'ARR Model'!J$14</f>
        <v>90.2736729122417</v>
      </c>
      <c r="K129" s="32" t="n">
        <f aca="false">J129*(1-$A129+Assumptions!$C$6)+'ARR Model'!K$14</f>
        <v>92.5124787372065</v>
      </c>
      <c r="L129" s="32" t="n">
        <f aca="false">K129*(1-$A129+Assumptions!$C$6)+'ARR Model'!L$14</f>
        <v>94.8147396468996</v>
      </c>
      <c r="M129" s="32" t="n">
        <f aca="false">SUMPRODUCT((B129:K129+C129:L129)/2*Inputs!$B$36,'ARR Model'!$C$10:$L$10,DCF!$C$5:$L$5)+AVERAGE(K129,L129)*Inputs!$B$36*'ARR Model'!$L$10*(1+Assumptions!$C$14)/(Assumptions!$C$13-Assumptions!$C$14)*DCF!$L$5</f>
        <v>300.667718624008</v>
      </c>
      <c r="N129" s="28" t="n">
        <f aca="false">(M129+Inputs!$B$9-Inputs!$B$10)/Inputs!$B$6*Inputs!$B$7</f>
        <v>14.6011416136213</v>
      </c>
    </row>
    <row r="130" customFormat="false" ht="15" hidden="false" customHeight="false" outlineLevel="0" collapsed="false">
      <c r="A130" s="18" t="n">
        <v>0.5</v>
      </c>
      <c r="B130" s="31" t="n">
        <f aca="false">'ARR Model'!$B$17</f>
        <v>255.1</v>
      </c>
      <c r="C130" s="32" t="n">
        <f aca="false">B130*(1-$A130+Assumptions!$C$6)+'ARR Model'!C$14</f>
        <v>174.3424</v>
      </c>
      <c r="D130" s="32" t="n">
        <f aca="false">C130*(1-$A130+Assumptions!$C$6)+'ARR Model'!D$14</f>
        <v>129.452506</v>
      </c>
      <c r="E130" s="32" t="n">
        <f aca="false">D130*(1-$A130+Assumptions!$C$6)+'ARR Model'!E$14</f>
        <v>105.336777206667</v>
      </c>
      <c r="F130" s="32" t="n">
        <f aca="false">E130*(1-$A130+Assumptions!$C$6)+'ARR Model'!F$14</f>
        <v>93.2153378030111</v>
      </c>
      <c r="G130" s="32" t="n">
        <f aca="false">F130*(1-$A130+Assumptions!$C$6)+'ARR Model'!G$14</f>
        <v>87.96934778351</v>
      </c>
      <c r="H130" s="32" t="n">
        <f aca="false">G130*(1-$A130+Assumptions!$C$6)+'ARR Model'!H$14</f>
        <v>86.6030603584999</v>
      </c>
      <c r="I130" s="32" t="n">
        <f aca="false">H130*(1-$A130+Assumptions!$C$6)+'ARR Model'!I$14</f>
        <v>87.3524499932369</v>
      </c>
      <c r="J130" s="32" t="n">
        <f aca="false">I130*(1-$A130+Assumptions!$C$6)+'ARR Model'!J$14</f>
        <v>89.1688844391707</v>
      </c>
      <c r="K130" s="32" t="n">
        <f aca="false">J130*(1-$A130+Assumptions!$C$6)+'ARR Model'!K$14</f>
        <v>91.4203330582641</v>
      </c>
      <c r="L130" s="32" t="n">
        <f aca="false">K130*(1-$A130+Assumptions!$C$6)+'ARR Model'!L$14</f>
        <v>93.7187327594269</v>
      </c>
      <c r="M130" s="32" t="n">
        <f aca="false">SUMPRODUCT((B130:K130+C130:L130)/2*Inputs!$B$36,'ARR Model'!$C$10:$L$10,DCF!$C$5:$L$5)+AVERAGE(K130,L130)*Inputs!$B$36*'ARR Model'!$L$10*(1+Assumptions!$C$14)/(Assumptions!$C$13-Assumptions!$C$14)*DCF!$L$5</f>
        <v>297.37227956992</v>
      </c>
      <c r="N130" s="28" t="n">
        <f aca="false">(M130+Inputs!$B$9-Inputs!$B$10)/Inputs!$B$6*Inputs!$B$7</f>
        <v>14.4149063805045</v>
      </c>
    </row>
    <row r="132" customFormat="false" ht="15" hidden="false" customHeight="false" outlineLevel="0" collapsed="false">
      <c r="A132" s="30" t="s">
        <v>131</v>
      </c>
    </row>
    <row r="133" customFormat="false" ht="15" hidden="false" customHeight="false" outlineLevel="0" collapsed="false">
      <c r="A133" s="18" t="n">
        <f aca="false">Assumptions!C16</f>
        <v>0.09</v>
      </c>
      <c r="B133" s="31" t="n">
        <f aca="false">'ARR Model'!$B$17</f>
        <v>255.1</v>
      </c>
      <c r="C133" s="32" t="n">
        <f aca="false">B133*(1-$A133+Assumptions!$C$6)+'ARR Model'!C$14</f>
        <v>278.9334</v>
      </c>
      <c r="D133" s="32" t="n">
        <f aca="false">C133*(1-$A133+Assumptions!$C$6)+'ARR Model'!D$14</f>
        <v>304.47798</v>
      </c>
      <c r="E133" s="32" t="n">
        <f aca="false">D133*(1-$A133+Assumptions!$C$6)+'ARR Model'!E$14</f>
        <v>331.687523926667</v>
      </c>
      <c r="F133" s="32" t="n">
        <f aca="false">E133*(1-$A133+Assumptions!$C$6)+'ARR Model'!F$14</f>
        <v>360.490655710544</v>
      </c>
      <c r="G133" s="32" t="n">
        <f aca="false">F133*(1-$A133+Assumptions!$C$6)+'ARR Model'!G$14</f>
        <v>390.790201011203</v>
      </c>
      <c r="H133" s="32" t="n">
        <f aca="false">G133*(1-$A133+Assumptions!$C$6)+'ARR Model'!H$14</f>
        <v>422.463137645155</v>
      </c>
      <c r="I133" s="32" t="n">
        <f aca="false">H133*(1-$A133+Assumptions!$C$6)+'ARR Model'!I$14</f>
        <v>455.36118125401</v>
      </c>
      <c r="J133" s="32" t="n">
        <f aca="false">I133*(1-$A133+Assumptions!$C$6)+'ARR Model'!J$14</f>
        <v>489.312032884563</v>
      </c>
      <c r="K133" s="32" t="n">
        <f aca="false">J133*(1-$A133+Assumptions!$C$6)+'ARR Model'!K$14</f>
        <v>524.121292639263</v>
      </c>
      <c r="L133" s="32" t="n">
        <f aca="false">K133*(1-$A133+Assumptions!$C$6)+'ARR Model'!L$14</f>
        <v>559.575019298504</v>
      </c>
      <c r="M133" s="32" t="n">
        <f aca="false">SUMPRODUCT((B133:K133+C133:L133)/2*Inputs!$B$36,'ARR Model'!$C$10:$L$10,DCF!$C$5:$L$5)+AVERAGE(K133,L133)*Inputs!$B$36*'ARR Model'!$L$10*(1+Assumptions!$C$14)/(Assumptions!$C$13-Assumptions!$C$14)*DCF!$L$5</f>
        <v>1277.90457714449</v>
      </c>
      <c r="N133" s="28" t="n">
        <f aca="false">(M133+Inputs!$B$9-Inputs!$B$10)/Inputs!$B$6*Inputs!$B$7</f>
        <v>69.8277536582657</v>
      </c>
      <c r="O133" s="6" t="s">
        <v>132</v>
      </c>
    </row>
    <row r="134" customFormat="false" ht="15" hidden="false" customHeight="false" outlineLevel="0" collapsed="false">
      <c r="A134" s="18" t="n">
        <f aca="false">IF(ISNUMBER(H5),H5,0)</f>
        <v>0.24513208835438</v>
      </c>
      <c r="B134" s="31" t="n">
        <f aca="false">'ARR Model'!$B$17</f>
        <v>255.1</v>
      </c>
      <c r="C134" s="32" t="n">
        <f aca="false">B134*(1-$A134+Assumptions!$C$6)+'ARR Model'!C$14</f>
        <v>239.359204260798</v>
      </c>
      <c r="D134" s="32" t="n">
        <f aca="false">C134*(1-$A134+Assumptions!$C$6)+'ARR Model'!D$14</f>
        <v>228.16723299437</v>
      </c>
      <c r="E134" s="32" t="n">
        <f aca="false">D134*(1-$A134+Assumptions!$C$6)+'ARR Model'!E$14</f>
        <v>220.743825042636</v>
      </c>
      <c r="F134" s="32" t="n">
        <f aca="false">E134*(1-$A134+Assumptions!$C$6)+'ARR Model'!F$14</f>
        <v>216.411943245156</v>
      </c>
      <c r="G134" s="32" t="n">
        <f aca="false">F134*(1-$A134+Assumptions!$C$6)+'ARR Model'!G$14</f>
        <v>214.579838970017</v>
      </c>
      <c r="H134" s="32" t="n">
        <f aca="false">G134*(1-$A134+Assumptions!$C$6)+'ARR Model'!H$14</f>
        <v>214.726660686216</v>
      </c>
      <c r="I134" s="32" t="n">
        <f aca="false">H134*(1-$A134+Assumptions!$C$6)+'ARR Model'!I$14</f>
        <v>216.391073767046</v>
      </c>
      <c r="J134" s="32" t="n">
        <f aca="false">I134*(1-$A134+Assumptions!$C$6)+'ARR Model'!J$14</f>
        <v>219.16242729774</v>
      </c>
      <c r="K134" s="32" t="n">
        <f aca="false">J134*(1-$A134+Assumptions!$C$6)+'ARR Model'!K$14</f>
        <v>222.674058072794</v>
      </c>
      <c r="L134" s="32" t="n">
        <f aca="false">K134*(1-$A134+Assumptions!$C$6)+'ARR Model'!L$14</f>
        <v>226.598365426523</v>
      </c>
      <c r="M134" s="32" t="n">
        <f aca="false">SUMPRODUCT((B134:K134+C134:L134)/2*Inputs!$B$36,'ARR Model'!$C$10:$L$10,DCF!$C$5:$L$5)+AVERAGE(K134,L134)*Inputs!$B$36*'ARR Model'!$L$10*(1+Assumptions!$C$14)/(Assumptions!$C$13-Assumptions!$C$14)*DCF!$L$5</f>
        <v>630.124294228382</v>
      </c>
      <c r="N134" s="28" t="n">
        <f aca="false">(M134+Inputs!$B$9-Inputs!$B$10)/Inputs!$B$6*Inputs!$B$7</f>
        <v>33.2197296537883</v>
      </c>
      <c r="O134" s="6" t="s">
        <v>133</v>
      </c>
    </row>
    <row r="135" customFormat="false" ht="15" hidden="false" customHeight="false" outlineLevel="0" collapsed="false">
      <c r="A135" s="18" t="n">
        <f aca="false">Assumptions!C5</f>
        <v>0.09</v>
      </c>
      <c r="B135" s="31" t="n">
        <f aca="false">'ARR Model'!$B$17</f>
        <v>255.1</v>
      </c>
      <c r="C135" s="32" t="n">
        <f aca="false">B135*(1-$A135+Assumptions!$C$6)+'ARR Model'!C$14</f>
        <v>278.9334</v>
      </c>
      <c r="D135" s="32" t="n">
        <f aca="false">C135*(1-$A135+Assumptions!$C$6)+'ARR Model'!D$14</f>
        <v>304.47798</v>
      </c>
      <c r="E135" s="32" t="n">
        <f aca="false">D135*(1-$A135+Assumptions!$C$6)+'ARR Model'!E$14</f>
        <v>331.687523926667</v>
      </c>
      <c r="F135" s="32" t="n">
        <f aca="false">E135*(1-$A135+Assumptions!$C$6)+'ARR Model'!F$14</f>
        <v>360.490655710544</v>
      </c>
      <c r="G135" s="32" t="n">
        <f aca="false">F135*(1-$A135+Assumptions!$C$6)+'ARR Model'!G$14</f>
        <v>390.790201011203</v>
      </c>
      <c r="H135" s="32" t="n">
        <f aca="false">G135*(1-$A135+Assumptions!$C$6)+'ARR Model'!H$14</f>
        <v>422.463137645155</v>
      </c>
      <c r="I135" s="32" t="n">
        <f aca="false">H135*(1-$A135+Assumptions!$C$6)+'ARR Model'!I$14</f>
        <v>455.36118125401</v>
      </c>
      <c r="J135" s="32" t="n">
        <f aca="false">I135*(1-$A135+Assumptions!$C$6)+'ARR Model'!J$14</f>
        <v>489.312032884563</v>
      </c>
      <c r="K135" s="32" t="n">
        <f aca="false">J135*(1-$A135+Assumptions!$C$6)+'ARR Model'!K$14</f>
        <v>524.121292639263</v>
      </c>
      <c r="L135" s="32" t="n">
        <f aca="false">K135*(1-$A135+Assumptions!$C$6)+'ARR Model'!L$14</f>
        <v>559.575019298504</v>
      </c>
      <c r="M135" s="32" t="n">
        <f aca="false">SUMPRODUCT((B135:K135+C135:L135)/2*Inputs!$B$36,'ARR Model'!$C$10:$L$10,DCF!$C$5:$L$5)+AVERAGE(K135,L135)*Inputs!$B$36*'ARR Model'!$L$10*(1+Assumptions!$C$14)/(Assumptions!$C$13-Assumptions!$C$14)*DCF!$L$5</f>
        <v>1277.90457714449</v>
      </c>
      <c r="N135" s="28" t="n">
        <f aca="false">(M135+Inputs!$B$9-Inputs!$B$10)/Inputs!$B$6*Inputs!$B$7</f>
        <v>69.8277536582657</v>
      </c>
      <c r="O135" s="6" t="s">
        <v>134</v>
      </c>
    </row>
    <row r="136" customFormat="false" ht="15" hidden="false" customHeight="false" outlineLevel="0" collapsed="false">
      <c r="A136" s="30" t="str">
        <f aca="false">IF(ABS(N135-DCF!C18)&lt;0.005,"CHECK OK: engine matches DCF tab","CHECK FAILED: engine differs from DCF tab")</f>
        <v>CHECK OK: engine matches DCF tab</v>
      </c>
    </row>
  </sheetData>
  <mergeCells count="9">
    <mergeCell ref="A4:G4"/>
    <mergeCell ref="A5:G5"/>
    <mergeCell ref="A6:G6"/>
    <mergeCell ref="A7:G7"/>
    <mergeCell ref="A8:G8"/>
    <mergeCell ref="A9:G9"/>
    <mergeCell ref="A10:G10"/>
    <mergeCell ref="A11:G11"/>
    <mergeCell ref="A13: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90"/>
  </cols>
  <sheetData>
    <row r="1" customFormat="false" ht="17.35" hidden="false" customHeight="false" outlineLevel="0" collapsed="false">
      <c r="B1" s="5" t="s">
        <v>135</v>
      </c>
    </row>
    <row r="2" customFormat="false" ht="15" hidden="false" customHeight="false" outlineLevel="0" collapsed="false">
      <c r="B2" s="6" t="s">
        <v>136</v>
      </c>
    </row>
    <row r="4" customFormat="false" ht="15" hidden="false" customHeight="false" outlineLevel="0" collapsed="false">
      <c r="A4" s="7"/>
      <c r="B4" s="8" t="s">
        <v>137</v>
      </c>
      <c r="C4" s="8" t="s">
        <v>31</v>
      </c>
      <c r="D4" s="8" t="s">
        <v>138</v>
      </c>
    </row>
    <row r="5" customFormat="false" ht="15" hidden="false" customHeight="false" outlineLevel="0" collapsed="false">
      <c r="B5" s="9" t="s">
        <v>139</v>
      </c>
      <c r="C5" s="17" t="n">
        <v>0.09</v>
      </c>
      <c r="D5" s="6" t="s">
        <v>140</v>
      </c>
    </row>
    <row r="6" customFormat="false" ht="15" hidden="false" customHeight="false" outlineLevel="0" collapsed="false">
      <c r="B6" s="9" t="s">
        <v>141</v>
      </c>
      <c r="C6" s="16" t="n">
        <v>0.08</v>
      </c>
      <c r="D6" s="6" t="s">
        <v>142</v>
      </c>
    </row>
    <row r="7" customFormat="false" ht="15" hidden="false" customHeight="false" outlineLevel="0" collapsed="false">
      <c r="B7" s="9" t="s">
        <v>143</v>
      </c>
      <c r="C7" s="16" t="n">
        <v>0.08</v>
      </c>
      <c r="D7" s="6" t="s">
        <v>144</v>
      </c>
    </row>
    <row r="8" customFormat="false" ht="15" hidden="false" customHeight="false" outlineLevel="0" collapsed="false">
      <c r="B8" s="9" t="s">
        <v>145</v>
      </c>
      <c r="C8" s="16" t="n">
        <v>0.025</v>
      </c>
      <c r="D8" s="6" t="s">
        <v>146</v>
      </c>
    </row>
    <row r="9" customFormat="false" ht="15" hidden="false" customHeight="false" outlineLevel="0" collapsed="false">
      <c r="B9" s="9" t="s">
        <v>147</v>
      </c>
      <c r="C9" s="17" t="n">
        <v>0.28</v>
      </c>
      <c r="D9" s="6" t="s">
        <v>148</v>
      </c>
    </row>
    <row r="10" customFormat="false" ht="15" hidden="false" customHeight="false" outlineLevel="0" collapsed="false">
      <c r="B10" s="9" t="s">
        <v>149</v>
      </c>
      <c r="C10" s="16" t="n">
        <v>0.85</v>
      </c>
      <c r="D10" s="6" t="s">
        <v>150</v>
      </c>
    </row>
    <row r="11" customFormat="false" ht="15" hidden="false" customHeight="false" outlineLevel="0" collapsed="false">
      <c r="B11" s="9" t="s">
        <v>151</v>
      </c>
      <c r="C11" s="33" t="n">
        <v>5</v>
      </c>
      <c r="D11" s="6" t="s">
        <v>152</v>
      </c>
    </row>
    <row r="12" customFormat="false" ht="15" hidden="false" customHeight="false" outlineLevel="0" collapsed="false">
      <c r="B12" s="9" t="s">
        <v>153</v>
      </c>
      <c r="C12" s="34" t="n">
        <f aca="false">Inputs!B12</f>
        <v>0.794</v>
      </c>
      <c r="D12" s="6" t="s">
        <v>154</v>
      </c>
    </row>
    <row r="13" customFormat="false" ht="15" hidden="false" customHeight="false" outlineLevel="0" collapsed="false">
      <c r="B13" s="9" t="s">
        <v>155</v>
      </c>
      <c r="C13" s="17" t="n">
        <v>0.1</v>
      </c>
      <c r="D13" s="6" t="s">
        <v>156</v>
      </c>
    </row>
    <row r="14" customFormat="false" ht="15" hidden="false" customHeight="false" outlineLevel="0" collapsed="false">
      <c r="B14" s="9" t="s">
        <v>157</v>
      </c>
      <c r="C14" s="16" t="n">
        <v>0.025</v>
      </c>
      <c r="D14" s="6" t="s">
        <v>158</v>
      </c>
    </row>
    <row r="16" customFormat="false" ht="15" hidden="false" customHeight="false" outlineLevel="0" collapsed="false">
      <c r="B16" s="30" t="s">
        <v>159</v>
      </c>
      <c r="C16" s="35" t="n">
        <f aca="false">C6+(1-Inputs!B13)</f>
        <v>0.09</v>
      </c>
      <c r="D16" s="6" t="s">
        <v>160</v>
      </c>
    </row>
    <row r="17" customFormat="false" ht="15" hidden="false" customHeight="false" outlineLevel="0" collapsed="false">
      <c r="B17" s="9" t="s">
        <v>161</v>
      </c>
      <c r="C17" s="18" t="n">
        <f aca="false">1-C5+C6</f>
        <v>0.99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12" min="3" style="0" width="11"/>
    <col collapsed="false" customWidth="true" hidden="false" outlineLevel="0" max="13" min="13" style="0" width="3"/>
  </cols>
  <sheetData>
    <row r="1" customFormat="false" ht="17.35" hidden="false" customHeight="false" outlineLevel="0" collapsed="false">
      <c r="A1" s="5" t="s">
        <v>162</v>
      </c>
    </row>
    <row r="2" customFormat="false" ht="15" hidden="false" customHeight="false" outlineLevel="0" collapsed="false">
      <c r="A2" s="36" t="s">
        <v>163</v>
      </c>
      <c r="B2" s="37" t="n">
        <v>0</v>
      </c>
      <c r="C2" s="37" t="n">
        <f aca="false">B2+1</f>
        <v>1</v>
      </c>
      <c r="D2" s="37" t="n">
        <f aca="false">C2+1</f>
        <v>2</v>
      </c>
      <c r="E2" s="37" t="n">
        <f aca="false">D2+1</f>
        <v>3</v>
      </c>
      <c r="F2" s="37" t="n">
        <f aca="false">E2+1</f>
        <v>4</v>
      </c>
      <c r="G2" s="37" t="n">
        <f aca="false">F2+1</f>
        <v>5</v>
      </c>
      <c r="H2" s="37" t="n">
        <f aca="false">G2+1</f>
        <v>6</v>
      </c>
      <c r="I2" s="37" t="n">
        <f aca="false">H2+1</f>
        <v>7</v>
      </c>
      <c r="J2" s="37" t="n">
        <f aca="false">I2+1</f>
        <v>8</v>
      </c>
      <c r="K2" s="37" t="n">
        <f aca="false">J2+1</f>
        <v>9</v>
      </c>
      <c r="L2" s="37" t="n">
        <f aca="false">K2+1</f>
        <v>10</v>
      </c>
    </row>
    <row r="3" customFormat="false" ht="15" hidden="false" customHeight="false" outlineLevel="0" collapsed="false">
      <c r="A3" s="36" t="s">
        <v>164</v>
      </c>
      <c r="B3" s="37" t="s">
        <v>165</v>
      </c>
      <c r="C3" s="37" t="str">
        <f aca="false">"Yr "&amp;C2</f>
        <v>Yr 1</v>
      </c>
      <c r="D3" s="37" t="str">
        <f aca="false">"Yr "&amp;D2</f>
        <v>Yr 2</v>
      </c>
      <c r="E3" s="37" t="str">
        <f aca="false">"Yr "&amp;E2</f>
        <v>Yr 3</v>
      </c>
      <c r="F3" s="37" t="str">
        <f aca="false">"Yr "&amp;F2</f>
        <v>Yr 4</v>
      </c>
      <c r="G3" s="37" t="str">
        <f aca="false">"Yr "&amp;G2</f>
        <v>Yr 5</v>
      </c>
      <c r="H3" s="37" t="str">
        <f aca="false">"Yr "&amp;H2</f>
        <v>Yr 6</v>
      </c>
      <c r="I3" s="37" t="str">
        <f aca="false">"Yr "&amp;I2</f>
        <v>Yr 7</v>
      </c>
      <c r="J3" s="37" t="str">
        <f aca="false">"Yr "&amp;J2</f>
        <v>Yr 8</v>
      </c>
      <c r="K3" s="37" t="str">
        <f aca="false">"Yr "&amp;K2</f>
        <v>Yr 9</v>
      </c>
      <c r="L3" s="37" t="str">
        <f aca="false">"Yr "&amp;L2</f>
        <v>Yr 10</v>
      </c>
    </row>
    <row r="5" customFormat="false" ht="15" hidden="false" customHeight="false" outlineLevel="0" collapsed="false">
      <c r="A5" s="38" t="s">
        <v>166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customFormat="false" ht="15" hidden="false" customHeight="false" outlineLevel="0" collapsed="false">
      <c r="A6" s="9" t="s">
        <v>167</v>
      </c>
      <c r="C6" s="18" t="n">
        <f aca="false">MIN(C$2/Assumptions!$C$11,1)</f>
        <v>0.2</v>
      </c>
      <c r="D6" s="18" t="n">
        <f aca="false">MIN(D$2/Assumptions!$C$11,1)</f>
        <v>0.4</v>
      </c>
      <c r="E6" s="18" t="n">
        <f aca="false">MIN(E$2/Assumptions!$C$11,1)</f>
        <v>0.6</v>
      </c>
      <c r="F6" s="18" t="n">
        <f aca="false">MIN(F$2/Assumptions!$C$11,1)</f>
        <v>0.8</v>
      </c>
      <c r="G6" s="18" t="n">
        <f aca="false">MIN(G$2/Assumptions!$C$11,1)</f>
        <v>1</v>
      </c>
      <c r="H6" s="18" t="n">
        <f aca="false">MIN(H$2/Assumptions!$C$11,1)</f>
        <v>1</v>
      </c>
      <c r="I6" s="18" t="n">
        <f aca="false">MIN(I$2/Assumptions!$C$11,1)</f>
        <v>1</v>
      </c>
      <c r="J6" s="18" t="n">
        <f aca="false">MIN(J$2/Assumptions!$C$11,1)</f>
        <v>1</v>
      </c>
      <c r="K6" s="18" t="n">
        <f aca="false">MIN(K$2/Assumptions!$C$11,1)</f>
        <v>1</v>
      </c>
      <c r="L6" s="18" t="n">
        <f aca="false">MIN(L$2/Assumptions!$C$11,1)</f>
        <v>1</v>
      </c>
    </row>
    <row r="7" customFormat="false" ht="15" hidden="false" customHeight="false" outlineLevel="0" collapsed="false">
      <c r="A7" s="9" t="s">
        <v>168</v>
      </c>
      <c r="C7" s="34" t="n">
        <f aca="false">Assumptions!$C$7+(Assumptions!$C$8-Assumptions!$C$7)*(C$2-1)/9</f>
        <v>0.08</v>
      </c>
      <c r="D7" s="34" t="n">
        <f aca="false">Assumptions!$C$7+(Assumptions!$C$8-Assumptions!$C$7)*(D$2-1)/9</f>
        <v>0.0738888888888889</v>
      </c>
      <c r="E7" s="34" t="n">
        <f aca="false">Assumptions!$C$7+(Assumptions!$C$8-Assumptions!$C$7)*(E$2-1)/9</f>
        <v>0.0677777777777778</v>
      </c>
      <c r="F7" s="34" t="n">
        <f aca="false">Assumptions!$C$7+(Assumptions!$C$8-Assumptions!$C$7)*(F$2-1)/9</f>
        <v>0.0616666666666667</v>
      </c>
      <c r="G7" s="34" t="n">
        <f aca="false">Assumptions!$C$7+(Assumptions!$C$8-Assumptions!$C$7)*(G$2-1)/9</f>
        <v>0.0555555555555556</v>
      </c>
      <c r="H7" s="34" t="n">
        <f aca="false">Assumptions!$C$7+(Assumptions!$C$8-Assumptions!$C$7)*(H$2-1)/9</f>
        <v>0.0494444444444444</v>
      </c>
      <c r="I7" s="34" t="n">
        <f aca="false">Assumptions!$C$7+(Assumptions!$C$8-Assumptions!$C$7)*(I$2-1)/9</f>
        <v>0.0433333333333333</v>
      </c>
      <c r="J7" s="34" t="n">
        <f aca="false">Assumptions!$C$7+(Assumptions!$C$8-Assumptions!$C$7)*(J$2-1)/9</f>
        <v>0.0372222222222222</v>
      </c>
      <c r="K7" s="34" t="n">
        <f aca="false">Assumptions!$C$7+(Assumptions!$C$8-Assumptions!$C$7)*(K$2-1)/9</f>
        <v>0.0311111111111111</v>
      </c>
      <c r="L7" s="34" t="n">
        <f aca="false">Assumptions!$C$7+(Assumptions!$C$8-Assumptions!$C$7)*(L$2-1)/9</f>
        <v>0.025</v>
      </c>
    </row>
    <row r="8" customFormat="false" ht="15" hidden="false" customHeight="false" outlineLevel="0" collapsed="false">
      <c r="A8" s="9" t="s">
        <v>169</v>
      </c>
      <c r="B8" s="34" t="n">
        <f aca="false">Inputs!B29</f>
        <v>0.185642609031262</v>
      </c>
      <c r="C8" s="34" t="n">
        <f aca="false">Inputs!$B$29+(Assumptions!$C$9-Inputs!$B$29)*C6</f>
        <v>0.20451408722501</v>
      </c>
      <c r="D8" s="34" t="n">
        <f aca="false">Inputs!$B$29+(Assumptions!$C$9-Inputs!$B$29)*D6</f>
        <v>0.223385565418757</v>
      </c>
      <c r="E8" s="34" t="n">
        <f aca="false">Inputs!$B$29+(Assumptions!$C$9-Inputs!$B$29)*E6</f>
        <v>0.242257043612505</v>
      </c>
      <c r="F8" s="34" t="n">
        <f aca="false">Inputs!$B$29+(Assumptions!$C$9-Inputs!$B$29)*F6</f>
        <v>0.261128521806252</v>
      </c>
      <c r="G8" s="34" t="n">
        <f aca="false">Inputs!$B$29+(Assumptions!$C$9-Inputs!$B$29)*G6</f>
        <v>0.28</v>
      </c>
      <c r="H8" s="34" t="n">
        <f aca="false">Inputs!$B$29+(Assumptions!$C$9-Inputs!$B$29)*H6</f>
        <v>0.28</v>
      </c>
      <c r="I8" s="34" t="n">
        <f aca="false">Inputs!$B$29+(Assumptions!$C$9-Inputs!$B$29)*I6</f>
        <v>0.28</v>
      </c>
      <c r="J8" s="34" t="n">
        <f aca="false">Inputs!$B$29+(Assumptions!$C$9-Inputs!$B$29)*J6</f>
        <v>0.28</v>
      </c>
      <c r="K8" s="34" t="n">
        <f aca="false">Inputs!$B$29+(Assumptions!$C$9-Inputs!$B$29)*K6</f>
        <v>0.28</v>
      </c>
      <c r="L8" s="34" t="n">
        <f aca="false">Inputs!$B$29+(Assumptions!$C$9-Inputs!$B$29)*L6</f>
        <v>0.28</v>
      </c>
    </row>
    <row r="9" customFormat="false" ht="15" hidden="false" customHeight="false" outlineLevel="0" collapsed="false">
      <c r="A9" s="9" t="s">
        <v>170</v>
      </c>
      <c r="B9" s="34" t="n">
        <f aca="false">Inputs!B31</f>
        <v>1.01247401247401</v>
      </c>
      <c r="C9" s="34" t="n">
        <f aca="false">Inputs!$B$31+(Assumptions!$C$10-Inputs!$B$31)*C6</f>
        <v>0.97997920997921</v>
      </c>
      <c r="D9" s="34" t="n">
        <f aca="false">Inputs!$B$31+(Assumptions!$C$10-Inputs!$B$31)*D6</f>
        <v>0.947484407484408</v>
      </c>
      <c r="E9" s="34" t="n">
        <f aca="false">Inputs!$B$31+(Assumptions!$C$10-Inputs!$B$31)*E6</f>
        <v>0.914989604989605</v>
      </c>
      <c r="F9" s="34" t="n">
        <f aca="false">Inputs!$B$31+(Assumptions!$C$10-Inputs!$B$31)*F6</f>
        <v>0.882494802494803</v>
      </c>
      <c r="G9" s="34" t="n">
        <f aca="false">Inputs!$B$31+(Assumptions!$C$10-Inputs!$B$31)*G6</f>
        <v>0.85</v>
      </c>
      <c r="H9" s="34" t="n">
        <f aca="false">Inputs!$B$31+(Assumptions!$C$10-Inputs!$B$31)*H6</f>
        <v>0.85</v>
      </c>
      <c r="I9" s="34" t="n">
        <f aca="false">Inputs!$B$31+(Assumptions!$C$10-Inputs!$B$31)*I6</f>
        <v>0.85</v>
      </c>
      <c r="J9" s="34" t="n">
        <f aca="false">Inputs!$B$31+(Assumptions!$C$10-Inputs!$B$31)*J6</f>
        <v>0.85</v>
      </c>
      <c r="K9" s="34" t="n">
        <f aca="false">Inputs!$B$31+(Assumptions!$C$10-Inputs!$B$31)*K6</f>
        <v>0.85</v>
      </c>
      <c r="L9" s="34" t="n">
        <f aca="false">Inputs!$B$31+(Assumptions!$C$10-Inputs!$B$31)*L6</f>
        <v>0.85</v>
      </c>
    </row>
    <row r="10" customFormat="false" ht="15" hidden="false" customHeight="false" outlineLevel="0" collapsed="false">
      <c r="A10" s="9" t="s">
        <v>171</v>
      </c>
      <c r="C10" s="18" t="n">
        <f aca="false">C8*C9</f>
        <v>0.200419553628384</v>
      </c>
      <c r="D10" s="18" t="n">
        <f aca="false">D8*D9</f>
        <v>0.211654340091361</v>
      </c>
      <c r="E10" s="18" t="n">
        <f aca="false">E8*E9</f>
        <v>0.221662676640955</v>
      </c>
      <c r="F10" s="18" t="n">
        <f aca="false">F8*F9</f>
        <v>0.230444563277169</v>
      </c>
      <c r="G10" s="18" t="n">
        <f aca="false">G8*G9</f>
        <v>0.238</v>
      </c>
      <c r="H10" s="18" t="n">
        <f aca="false">H8*H9</f>
        <v>0.238</v>
      </c>
      <c r="I10" s="18" t="n">
        <f aca="false">I8*I9</f>
        <v>0.238</v>
      </c>
      <c r="J10" s="18" t="n">
        <f aca="false">J8*J9</f>
        <v>0.238</v>
      </c>
      <c r="K10" s="18" t="n">
        <f aca="false">K8*K9</f>
        <v>0.238</v>
      </c>
      <c r="L10" s="18" t="n">
        <f aca="false">L8*L9</f>
        <v>0.238</v>
      </c>
    </row>
    <row r="12" customFormat="false" ht="15" hidden="false" customHeight="false" outlineLevel="0" collapsed="false">
      <c r="A12" s="38" t="s">
        <v>172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customFormat="false" ht="15" hidden="false" customHeight="false" outlineLevel="0" collapsed="false">
      <c r="A13" s="9" t="s">
        <v>173</v>
      </c>
      <c r="C13" s="14" t="n">
        <f aca="false">B17</f>
        <v>255.1</v>
      </c>
      <c r="D13" s="14" t="n">
        <f aca="false">C17</f>
        <v>278.9334</v>
      </c>
      <c r="E13" s="14" t="n">
        <f aca="false">D17</f>
        <v>304.47798</v>
      </c>
      <c r="F13" s="14" t="n">
        <f aca="false">E17</f>
        <v>331.687523926667</v>
      </c>
      <c r="G13" s="14" t="n">
        <f aca="false">F17</f>
        <v>360.490655710544</v>
      </c>
      <c r="H13" s="14" t="n">
        <f aca="false">G17</f>
        <v>390.790201011203</v>
      </c>
      <c r="I13" s="14" t="n">
        <f aca="false">H17</f>
        <v>422.463137645155</v>
      </c>
      <c r="J13" s="14" t="n">
        <f aca="false">I17</f>
        <v>455.36118125401</v>
      </c>
      <c r="K13" s="14" t="n">
        <f aca="false">J17</f>
        <v>489.312032884563</v>
      </c>
      <c r="L13" s="14" t="n">
        <f aca="false">K17</f>
        <v>524.121292639263</v>
      </c>
    </row>
    <row r="14" customFormat="false" ht="15" hidden="false" customHeight="false" outlineLevel="0" collapsed="false">
      <c r="A14" s="9" t="s">
        <v>174</v>
      </c>
      <c r="B14" s="40" t="n">
        <f aca="false">Inputs!B35</f>
        <v>24.43</v>
      </c>
      <c r="C14" s="14" t="n">
        <f aca="false">B14*(1+C7)</f>
        <v>26.3844</v>
      </c>
      <c r="D14" s="14" t="n">
        <f aca="false">C14*(1+D7)</f>
        <v>28.333914</v>
      </c>
      <c r="E14" s="14" t="n">
        <f aca="false">D14*(1+E7)</f>
        <v>30.2543237266667</v>
      </c>
      <c r="F14" s="14" t="n">
        <f aca="false">E14*(1+F7)</f>
        <v>32.1200070231444</v>
      </c>
      <c r="G14" s="14" t="n">
        <f aca="false">F14*(1+G7)</f>
        <v>33.9044518577636</v>
      </c>
      <c r="H14" s="14" t="n">
        <f aca="false">G14*(1+H7)</f>
        <v>35.5808386440641</v>
      </c>
      <c r="I14" s="14" t="n">
        <f aca="false">H14*(1+I7)</f>
        <v>37.1226749853069</v>
      </c>
      <c r="J14" s="14" t="n">
        <f aca="false">I14*(1+J7)</f>
        <v>38.5044634430933</v>
      </c>
      <c r="K14" s="14" t="n">
        <f aca="false">J14*(1+K7)</f>
        <v>39.7023800835451</v>
      </c>
      <c r="L14" s="14" t="n">
        <f aca="false">K14*(1+L7)</f>
        <v>40.6949395856338</v>
      </c>
    </row>
    <row r="15" customFormat="false" ht="15" hidden="false" customHeight="false" outlineLevel="0" collapsed="false">
      <c r="A15" s="9" t="s">
        <v>175</v>
      </c>
      <c r="C15" s="40" t="n">
        <f aca="false">C13*Assumptions!$C$6</f>
        <v>20.408</v>
      </c>
      <c r="D15" s="40" t="n">
        <f aca="false">D13*Assumptions!$C$6</f>
        <v>22.314672</v>
      </c>
      <c r="E15" s="40" t="n">
        <f aca="false">E13*Assumptions!$C$6</f>
        <v>24.3582384</v>
      </c>
      <c r="F15" s="40" t="n">
        <f aca="false">F13*Assumptions!$C$6</f>
        <v>26.5350019141333</v>
      </c>
      <c r="G15" s="40" t="n">
        <f aca="false">G13*Assumptions!$C$6</f>
        <v>28.8392524568436</v>
      </c>
      <c r="H15" s="40" t="n">
        <f aca="false">H13*Assumptions!$C$6</f>
        <v>31.2632160808962</v>
      </c>
      <c r="I15" s="40" t="n">
        <f aca="false">I13*Assumptions!$C$6</f>
        <v>33.7970510116124</v>
      </c>
      <c r="J15" s="40" t="n">
        <f aca="false">J13*Assumptions!$C$6</f>
        <v>36.4288945003208</v>
      </c>
      <c r="K15" s="40" t="n">
        <f aca="false">K13*Assumptions!$C$6</f>
        <v>39.1449626307651</v>
      </c>
      <c r="L15" s="40" t="n">
        <f aca="false">L13*Assumptions!$C$6</f>
        <v>41.929703411141</v>
      </c>
    </row>
    <row r="16" customFormat="false" ht="15" hidden="false" customHeight="false" outlineLevel="0" collapsed="false">
      <c r="A16" s="9" t="s">
        <v>176</v>
      </c>
      <c r="C16" s="40" t="n">
        <f aca="false">-C13*Assumptions!$C$5</f>
        <v>-22.959</v>
      </c>
      <c r="D16" s="40" t="n">
        <f aca="false">-D13*Assumptions!$C$5</f>
        <v>-25.104006</v>
      </c>
      <c r="E16" s="40" t="n">
        <f aca="false">-E13*Assumptions!$C$5</f>
        <v>-27.4030182</v>
      </c>
      <c r="F16" s="40" t="n">
        <f aca="false">-F13*Assumptions!$C$5</f>
        <v>-29.8518771534</v>
      </c>
      <c r="G16" s="40" t="n">
        <f aca="false">-G13*Assumptions!$C$5</f>
        <v>-32.444159013949</v>
      </c>
      <c r="H16" s="40" t="n">
        <f aca="false">-H13*Assumptions!$C$5</f>
        <v>-35.1711180910082</v>
      </c>
      <c r="I16" s="40" t="n">
        <f aca="false">-I13*Assumptions!$C$5</f>
        <v>-38.0216823880639</v>
      </c>
      <c r="J16" s="40" t="n">
        <f aca="false">-J13*Assumptions!$C$5</f>
        <v>-40.9825063128609</v>
      </c>
      <c r="K16" s="40" t="n">
        <f aca="false">-K13*Assumptions!$C$5</f>
        <v>-44.0380829596107</v>
      </c>
      <c r="L16" s="40" t="n">
        <f aca="false">-L13*Assumptions!$C$5</f>
        <v>-47.1709163375336</v>
      </c>
    </row>
    <row r="17" customFormat="false" ht="15" hidden="false" customHeight="false" outlineLevel="0" collapsed="false">
      <c r="A17" s="41" t="s">
        <v>177</v>
      </c>
      <c r="B17" s="42" t="n">
        <f aca="false">Inputs!B32</f>
        <v>255.1</v>
      </c>
      <c r="C17" s="43" t="n">
        <f aca="false">SUM(C13:C16)</f>
        <v>278.9334</v>
      </c>
      <c r="D17" s="43" t="n">
        <f aca="false">SUM(D13:D16)</f>
        <v>304.47798</v>
      </c>
      <c r="E17" s="43" t="n">
        <f aca="false">SUM(E13:E16)</f>
        <v>331.687523926667</v>
      </c>
      <c r="F17" s="43" t="n">
        <f aca="false">SUM(F13:F16)</f>
        <v>360.490655710544</v>
      </c>
      <c r="G17" s="43" t="n">
        <f aca="false">SUM(G13:G16)</f>
        <v>390.790201011203</v>
      </c>
      <c r="H17" s="43" t="n">
        <f aca="false">SUM(H13:H16)</f>
        <v>422.463137645155</v>
      </c>
      <c r="I17" s="43" t="n">
        <f aca="false">SUM(I13:I16)</f>
        <v>455.36118125401</v>
      </c>
      <c r="J17" s="43" t="n">
        <f aca="false">SUM(J13:J16)</f>
        <v>489.312032884563</v>
      </c>
      <c r="K17" s="43" t="n">
        <f aca="false">SUM(K13:K16)</f>
        <v>524.121292639263</v>
      </c>
      <c r="L17" s="43" t="n">
        <f aca="false">SUM(L13:L16)</f>
        <v>559.575019298504</v>
      </c>
    </row>
    <row r="18" customFormat="false" ht="15" hidden="false" customHeight="false" outlineLevel="0" collapsed="false">
      <c r="A18" s="9" t="s">
        <v>178</v>
      </c>
      <c r="C18" s="18" t="n">
        <f aca="false">C17/B17-1</f>
        <v>0.0934276754214034</v>
      </c>
      <c r="D18" s="18" t="n">
        <f aca="false">D17/C17-1</f>
        <v>0.0915794953203883</v>
      </c>
      <c r="E18" s="18" t="n">
        <f aca="false">E17/D17-1</f>
        <v>0.0893645705566841</v>
      </c>
      <c r="F18" s="18" t="n">
        <f aca="false">F17/E17-1</f>
        <v>0.0868381524963415</v>
      </c>
      <c r="G18" s="18" t="n">
        <f aca="false">G17/F17-1</f>
        <v>0.0840508479781155</v>
      </c>
      <c r="H18" s="18" t="n">
        <f aca="false">H17/G17-1</f>
        <v>0.0810484412147379</v>
      </c>
      <c r="I18" s="18" t="n">
        <f aca="false">I17/H17-1</f>
        <v>0.0778719861624657</v>
      </c>
      <c r="J18" s="18" t="n">
        <f aca="false">J17/I17-1</f>
        <v>0.074558071764169</v>
      </c>
      <c r="K18" s="18" t="n">
        <f aca="false">K17/J17-1</f>
        <v>0.0711391860721145</v>
      </c>
      <c r="L18" s="18" t="n">
        <f aca="false">L17/K17-1</f>
        <v>0.067644125810479</v>
      </c>
    </row>
    <row r="19" customFormat="false" ht="15" hidden="false" customHeight="false" outlineLevel="0" collapsed="false">
      <c r="A19" s="9" t="s">
        <v>179</v>
      </c>
      <c r="C19" s="18" t="n">
        <f aca="false">(C13+C15+C16)/C13</f>
        <v>0.99</v>
      </c>
      <c r="D19" s="18" t="n">
        <f aca="false">(D13+D15+D16)/D13</f>
        <v>0.99</v>
      </c>
      <c r="E19" s="18" t="n">
        <f aca="false">(E13+E15+E16)/E13</f>
        <v>0.99</v>
      </c>
      <c r="F19" s="18" t="n">
        <f aca="false">(F13+F15+F16)/F13</f>
        <v>0.99</v>
      </c>
      <c r="G19" s="18" t="n">
        <f aca="false">(G13+G15+G16)/G13</f>
        <v>0.99</v>
      </c>
      <c r="H19" s="18" t="n">
        <f aca="false">(H13+H15+H16)/H13</f>
        <v>0.99</v>
      </c>
      <c r="I19" s="18" t="n">
        <f aca="false">(I13+I15+I16)/I13</f>
        <v>0.99</v>
      </c>
      <c r="J19" s="18" t="n">
        <f aca="false">(J13+J15+J16)/J13</f>
        <v>0.99</v>
      </c>
      <c r="K19" s="18" t="n">
        <f aca="false">(K13+K15+K16)/K13</f>
        <v>0.99</v>
      </c>
      <c r="L19" s="18" t="n">
        <f aca="false">(L13+L15+L16)/L13</f>
        <v>0.99</v>
      </c>
    </row>
    <row r="21" customFormat="false" ht="15" hidden="false" customHeight="false" outlineLevel="0" collapsed="false">
      <c r="A21" s="38" t="s">
        <v>180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customFormat="false" ht="15" hidden="false" customHeight="false" outlineLevel="0" collapsed="false">
      <c r="A22" s="30" t="s">
        <v>181</v>
      </c>
      <c r="B22" s="44" t="n">
        <f aca="false">Inputs!B26</f>
        <v>259.1</v>
      </c>
      <c r="C22" s="45" t="n">
        <f aca="false">AVERAGE(B17,C17)*Inputs!$B$36</f>
        <v>283.483003359967</v>
      </c>
      <c r="D22" s="45" t="n">
        <f aca="false">AVERAGE(C17,D17)*Inputs!$B$36</f>
        <v>309.694506367548</v>
      </c>
      <c r="E22" s="45" t="n">
        <f aca="false">AVERAGE(D17,E17)*Inputs!$B$36</f>
        <v>337.698180838761</v>
      </c>
      <c r="F22" s="45" t="n">
        <f aca="false">AVERAGE(E17,F17)*Inputs!$B$36</f>
        <v>367.431604884248</v>
      </c>
      <c r="G22" s="45" t="n">
        <f aca="false">AVERAGE(F17,G17)*Inputs!$B$36</f>
        <v>398.805306241763</v>
      </c>
      <c r="H22" s="45" t="n">
        <f aca="false">AVERAGE(G17,H17)*Inputs!$B$36</f>
        <v>431.702397143745</v>
      </c>
      <c r="I22" s="45" t="n">
        <f aca="false">AVERAGE(H17,I17)*Inputs!$B$36</f>
        <v>465.978858895254</v>
      </c>
      <c r="J22" s="45" t="n">
        <f aca="false">AVERAGE(I17,J17)*Inputs!$B$36</f>
        <v>501.464515024184</v>
      </c>
      <c r="K22" s="45" t="n">
        <f aca="false">AVERAGE(J17,K17)*Inputs!$B$36</f>
        <v>537.964709369439</v>
      </c>
      <c r="L22" s="45" t="n">
        <f aca="false">AVERAGE(K17,L17)*Inputs!$B$36</f>
        <v>575.262680645514</v>
      </c>
    </row>
    <row r="23" customFormat="false" ht="15" hidden="false" customHeight="false" outlineLevel="0" collapsed="false">
      <c r="A23" s="9" t="s">
        <v>182</v>
      </c>
      <c r="C23" s="18" t="n">
        <f aca="false">C22/B22-1</f>
        <v>0.0941065355459947</v>
      </c>
      <c r="D23" s="18" t="n">
        <f aca="false">D22/C22-1</f>
        <v>0.0924623441155552</v>
      </c>
      <c r="E23" s="18" t="n">
        <f aca="false">E22/D22-1</f>
        <v>0.0904235428638136</v>
      </c>
      <c r="F23" s="18" t="n">
        <f aca="false">F22/E22-1</f>
        <v>0.0880473325963322</v>
      </c>
      <c r="G23" s="18" t="n">
        <f aca="false">G22/F22-1</f>
        <v>0.0853865071498112</v>
      </c>
      <c r="H23" s="18" t="n">
        <f aca="false">H22/G22-1</f>
        <v>0.082489100288047</v>
      </c>
      <c r="I23" s="18" t="n">
        <f aca="false">I22/H22-1</f>
        <v>0.0793983586338429</v>
      </c>
      <c r="J23" s="18" t="n">
        <f aca="false">J22/I22-1</f>
        <v>0.07615293151509</v>
      </c>
      <c r="K23" s="18" t="n">
        <f aca="false">K22/J22-1</f>
        <v>0.0727871928156167</v>
      </c>
      <c r="L23" s="18" t="n">
        <f aca="false">L22/K22-1</f>
        <v>0.0693316320317599</v>
      </c>
    </row>
    <row r="24" customFormat="false" ht="15" hidden="false" customHeight="false" outlineLevel="0" collapsed="false">
      <c r="A24" s="9" t="s">
        <v>183</v>
      </c>
      <c r="C24" s="14" t="n">
        <f aca="false">C22*Assumptions!$C$12</f>
        <v>225.085504667814</v>
      </c>
      <c r="D24" s="14" t="n">
        <f aca="false">D22*Assumptions!$C$12</f>
        <v>245.897438055833</v>
      </c>
      <c r="E24" s="14" t="n">
        <f aca="false">E22*Assumptions!$C$12</f>
        <v>268.132355585976</v>
      </c>
      <c r="F24" s="14" t="n">
        <f aca="false">F22*Assumptions!$C$12</f>
        <v>291.740694278093</v>
      </c>
      <c r="G24" s="14" t="n">
        <f aca="false">G22*Assumptions!$C$12</f>
        <v>316.65141315596</v>
      </c>
      <c r="H24" s="14" t="n">
        <f aca="false">H22*Assumptions!$C$12</f>
        <v>342.771703332134</v>
      </c>
      <c r="I24" s="14" t="n">
        <f aca="false">I22*Assumptions!$C$12</f>
        <v>369.987213962832</v>
      </c>
      <c r="J24" s="14" t="n">
        <f aca="false">J22*Assumptions!$C$12</f>
        <v>398.162824929202</v>
      </c>
      <c r="K24" s="14" t="n">
        <f aca="false">K22*Assumptions!$C$12</f>
        <v>427.143979239335</v>
      </c>
      <c r="L24" s="14" t="n">
        <f aca="false">L22*Assumptions!$C$12</f>
        <v>456.758568432538</v>
      </c>
    </row>
    <row r="25" customFormat="false" ht="15" hidden="false" customHeight="false" outlineLevel="0" collapsed="false">
      <c r="A25" s="9" t="s">
        <v>184</v>
      </c>
      <c r="C25" s="14" t="n">
        <f aca="false">C26-C24</f>
        <v>-167.109236991846</v>
      </c>
      <c r="D25" s="14" t="n">
        <f aca="false">D26-D24</f>
        <v>-176.716155643835</v>
      </c>
      <c r="E25" s="14" t="n">
        <f aca="false">E26-E24</f>
        <v>-186.322592662657</v>
      </c>
      <c r="F25" s="14" t="n">
        <f aca="false">F26-F24</f>
        <v>-195.79382242977</v>
      </c>
      <c r="G25" s="14" t="n">
        <f aca="false">G26-G24</f>
        <v>-204.985927408266</v>
      </c>
      <c r="H25" s="14" t="n">
        <f aca="false">H26-H24</f>
        <v>-221.895032131885</v>
      </c>
      <c r="I25" s="14" t="n">
        <f aca="false">I26-I24</f>
        <v>-239.513133472161</v>
      </c>
      <c r="J25" s="14" t="n">
        <f aca="false">J26-J24</f>
        <v>-257.752760722431</v>
      </c>
      <c r="K25" s="14" t="n">
        <f aca="false">K26-K24</f>
        <v>-276.513860615892</v>
      </c>
      <c r="L25" s="14" t="n">
        <f aca="false">L26-L24</f>
        <v>-295.685017851794</v>
      </c>
    </row>
    <row r="26" customFormat="false" ht="15" hidden="false" customHeight="false" outlineLevel="0" collapsed="false">
      <c r="A26" s="41" t="s">
        <v>185</v>
      </c>
      <c r="C26" s="43" t="n">
        <f aca="false">C22*C8</f>
        <v>57.976267675968</v>
      </c>
      <c r="D26" s="43" t="n">
        <f aca="false">D22*D8</f>
        <v>69.1812824119975</v>
      </c>
      <c r="E26" s="43" t="n">
        <f aca="false">E22*E8</f>
        <v>81.8097629233193</v>
      </c>
      <c r="F26" s="43" t="n">
        <f aca="false">F22*F8</f>
        <v>95.9468718483227</v>
      </c>
      <c r="G26" s="43" t="n">
        <f aca="false">G22*G8</f>
        <v>111.665485747694</v>
      </c>
      <c r="H26" s="43" t="n">
        <f aca="false">H22*H8</f>
        <v>120.876671200249</v>
      </c>
      <c r="I26" s="43" t="n">
        <f aca="false">I22*I8</f>
        <v>130.474080490671</v>
      </c>
      <c r="J26" s="43" t="n">
        <f aca="false">J22*J8</f>
        <v>140.410064206772</v>
      </c>
      <c r="K26" s="43" t="n">
        <f aca="false">K22*K8</f>
        <v>150.630118623443</v>
      </c>
      <c r="L26" s="43" t="n">
        <f aca="false">L22*L8</f>
        <v>161.073550580744</v>
      </c>
    </row>
    <row r="27" customFormat="false" ht="15" hidden="false" customHeight="false" outlineLevel="0" collapsed="false">
      <c r="A27" s="9" t="s">
        <v>186</v>
      </c>
      <c r="C27" s="14" t="n">
        <f aca="false">-C26*(1-C9)</f>
        <v>-1.16073068132967</v>
      </c>
      <c r="D27" s="14" t="n">
        <f aca="false">-D26*(1-D9)</f>
        <v>-3.63309603685459</v>
      </c>
      <c r="E27" s="14" t="n">
        <f aca="false">-E26*(1-E9)</f>
        <v>-6.95468026181814</v>
      </c>
      <c r="F27" s="14" t="n">
        <f aca="false">-F26*(1-F9)</f>
        <v>-11.274256126543</v>
      </c>
      <c r="G27" s="14" t="n">
        <f aca="false">-G26*(1-G9)</f>
        <v>-16.7498228621541</v>
      </c>
      <c r="H27" s="14" t="n">
        <f aca="false">-H26*(1-H9)</f>
        <v>-18.1315006800373</v>
      </c>
      <c r="I27" s="14" t="n">
        <f aca="false">-I26*(1-I9)</f>
        <v>-19.5711120736007</v>
      </c>
      <c r="J27" s="14" t="n">
        <f aca="false">-J26*(1-J9)</f>
        <v>-21.0615096310157</v>
      </c>
      <c r="K27" s="14" t="n">
        <f aca="false">-K26*(1-K9)</f>
        <v>-22.5945177935165</v>
      </c>
      <c r="L27" s="14" t="n">
        <f aca="false">-L26*(1-L9)</f>
        <v>-24.1610325871116</v>
      </c>
    </row>
    <row r="28" customFormat="false" ht="15" hidden="false" customHeight="false" outlineLevel="0" collapsed="false">
      <c r="A28" s="41" t="s">
        <v>187</v>
      </c>
      <c r="B28" s="42" t="n">
        <f aca="false">Inputs!B28</f>
        <v>48.7</v>
      </c>
      <c r="C28" s="43" t="n">
        <f aca="false">C26+C27</f>
        <v>56.8155369946384</v>
      </c>
      <c r="D28" s="43" t="n">
        <f aca="false">D26+D27</f>
        <v>65.548186375143</v>
      </c>
      <c r="E28" s="43" t="n">
        <f aca="false">E26+E27</f>
        <v>74.8550826615012</v>
      </c>
      <c r="F28" s="43" t="n">
        <f aca="false">F26+F27</f>
        <v>84.6726157217796</v>
      </c>
      <c r="G28" s="43" t="n">
        <f aca="false">G26+G27</f>
        <v>94.9156628855397</v>
      </c>
      <c r="H28" s="43" t="n">
        <f aca="false">H26+H27</f>
        <v>102.745170520211</v>
      </c>
      <c r="I28" s="43" t="n">
        <f aca="false">I26+I27</f>
        <v>110.902968417071</v>
      </c>
      <c r="J28" s="43" t="n">
        <f aca="false">J26+J27</f>
        <v>119.348554575756</v>
      </c>
      <c r="K28" s="43" t="n">
        <f aca="false">K26+K27</f>
        <v>128.035600829927</v>
      </c>
      <c r="L28" s="43" t="n">
        <f aca="false">L26+L27</f>
        <v>136.912517993632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12" min="3" style="0" width="11"/>
    <col collapsed="false" customWidth="true" hidden="false" outlineLevel="0" max="14" min="14" style="0" width="80"/>
  </cols>
  <sheetData>
    <row r="1" customFormat="false" ht="17.35" hidden="false" customHeight="false" outlineLevel="0" collapsed="false">
      <c r="A1" s="5" t="s">
        <v>188</v>
      </c>
    </row>
    <row r="3" customFormat="false" ht="15" hidden="false" customHeight="false" outlineLevel="0" collapsed="false">
      <c r="A3" s="36" t="s">
        <v>163</v>
      </c>
      <c r="B3" s="46"/>
      <c r="C3" s="37" t="n">
        <f aca="false">'ARR Model'!C2</f>
        <v>1</v>
      </c>
      <c r="D3" s="37" t="n">
        <f aca="false">'ARR Model'!D2</f>
        <v>2</v>
      </c>
      <c r="E3" s="37" t="n">
        <f aca="false">'ARR Model'!E2</f>
        <v>3</v>
      </c>
      <c r="F3" s="37" t="n">
        <f aca="false">'ARR Model'!F2</f>
        <v>4</v>
      </c>
      <c r="G3" s="37" t="n">
        <f aca="false">'ARR Model'!G2</f>
        <v>5</v>
      </c>
      <c r="H3" s="37" t="n">
        <f aca="false">'ARR Model'!H2</f>
        <v>6</v>
      </c>
      <c r="I3" s="37" t="n">
        <f aca="false">'ARR Model'!I2</f>
        <v>7</v>
      </c>
      <c r="J3" s="37" t="n">
        <f aca="false">'ARR Model'!J2</f>
        <v>8</v>
      </c>
      <c r="K3" s="37" t="n">
        <f aca="false">'ARR Model'!K2</f>
        <v>9</v>
      </c>
      <c r="L3" s="37" t="n">
        <f aca="false">'ARR Model'!L2</f>
        <v>10</v>
      </c>
    </row>
    <row r="4" customFormat="false" ht="15" hidden="false" customHeight="false" outlineLevel="0" collapsed="false">
      <c r="A4" s="9" t="s">
        <v>189</v>
      </c>
      <c r="C4" s="40" t="n">
        <f aca="false">'ARR Model'!C28</f>
        <v>56.8155369946384</v>
      </c>
      <c r="D4" s="40" t="n">
        <f aca="false">'ARR Model'!D28</f>
        <v>65.548186375143</v>
      </c>
      <c r="E4" s="40" t="n">
        <f aca="false">'ARR Model'!E28</f>
        <v>74.8550826615012</v>
      </c>
      <c r="F4" s="40" t="n">
        <f aca="false">'ARR Model'!F28</f>
        <v>84.6726157217796</v>
      </c>
      <c r="G4" s="40" t="n">
        <f aca="false">'ARR Model'!G28</f>
        <v>94.9156628855397</v>
      </c>
      <c r="H4" s="40" t="n">
        <f aca="false">'ARR Model'!H28</f>
        <v>102.745170520211</v>
      </c>
      <c r="I4" s="40" t="n">
        <f aca="false">'ARR Model'!I28</f>
        <v>110.902968417071</v>
      </c>
      <c r="J4" s="40" t="n">
        <f aca="false">'ARR Model'!J28</f>
        <v>119.348554575756</v>
      </c>
      <c r="K4" s="40" t="n">
        <f aca="false">'ARR Model'!K28</f>
        <v>128.035600829927</v>
      </c>
      <c r="L4" s="40" t="n">
        <f aca="false">'ARR Model'!L28</f>
        <v>136.912517993632</v>
      </c>
    </row>
    <row r="5" customFormat="false" ht="15" hidden="false" customHeight="false" outlineLevel="0" collapsed="false">
      <c r="A5" s="9" t="s">
        <v>190</v>
      </c>
      <c r="C5" s="19" t="n">
        <f aca="false">1/(1+Assumptions!$C$13)^C3</f>
        <v>0.909090909090909</v>
      </c>
      <c r="D5" s="19" t="n">
        <f aca="false">1/(1+Assumptions!$C$13)^D3</f>
        <v>0.826446280991735</v>
      </c>
      <c r="E5" s="19" t="n">
        <f aca="false">1/(1+Assumptions!$C$13)^E3</f>
        <v>0.751314800901578</v>
      </c>
      <c r="F5" s="19" t="n">
        <f aca="false">1/(1+Assumptions!$C$13)^F3</f>
        <v>0.683013455365071</v>
      </c>
      <c r="G5" s="19" t="n">
        <f aca="false">1/(1+Assumptions!$C$13)^G3</f>
        <v>0.620921323059155</v>
      </c>
      <c r="H5" s="19" t="n">
        <f aca="false">1/(1+Assumptions!$C$13)^H3</f>
        <v>0.564473930053777</v>
      </c>
      <c r="I5" s="19" t="n">
        <f aca="false">1/(1+Assumptions!$C$13)^I3</f>
        <v>0.513158118230707</v>
      </c>
      <c r="J5" s="19" t="n">
        <f aca="false">1/(1+Assumptions!$C$13)^J3</f>
        <v>0.466507380209733</v>
      </c>
      <c r="K5" s="19" t="n">
        <f aca="false">1/(1+Assumptions!$C$13)^K3</f>
        <v>0.424097618372485</v>
      </c>
      <c r="L5" s="19" t="n">
        <f aca="false">1/(1+Assumptions!$C$13)^L3</f>
        <v>0.385543289429531</v>
      </c>
    </row>
    <row r="6" customFormat="false" ht="15" hidden="false" customHeight="false" outlineLevel="0" collapsed="false">
      <c r="A6" s="9" t="s">
        <v>191</v>
      </c>
      <c r="C6" s="14" t="n">
        <f aca="false">C4*C5</f>
        <v>51.650488176944</v>
      </c>
      <c r="D6" s="14" t="n">
        <f aca="false">D4*D5</f>
        <v>54.17205485549</v>
      </c>
      <c r="E6" s="14" t="n">
        <f aca="false">E4*E5</f>
        <v>56.2397315262969</v>
      </c>
      <c r="F6" s="14" t="n">
        <f aca="false">F4*F5</f>
        <v>57.8325358389315</v>
      </c>
      <c r="G6" s="14" t="n">
        <f aca="false">G4*G5</f>
        <v>58.935158977926</v>
      </c>
      <c r="H6" s="14" t="n">
        <f aca="false">H4*H5</f>
        <v>57.9969701975892</v>
      </c>
      <c r="I6" s="14" t="n">
        <f aca="false">I4*I5</f>
        <v>56.9107585791034</v>
      </c>
      <c r="J6" s="14" t="n">
        <f aca="false">J4*J5</f>
        <v>55.6769815269542</v>
      </c>
      <c r="K6" s="14" t="n">
        <f aca="false">K4*K5</f>
        <v>54.299593378862</v>
      </c>
      <c r="L6" s="14" t="n">
        <f aca="false">L4*L5</f>
        <v>52.7857025513449</v>
      </c>
    </row>
    <row r="8" customFormat="false" ht="15" hidden="false" customHeight="false" outlineLevel="0" collapsed="false">
      <c r="A8" s="9" t="s">
        <v>192</v>
      </c>
      <c r="C8" s="14" t="n">
        <f aca="false">SUM(C6:L6)</f>
        <v>556.499975609442</v>
      </c>
      <c r="D8" s="6" t="s">
        <v>193</v>
      </c>
    </row>
    <row r="9" customFormat="false" ht="15" hidden="false" customHeight="false" outlineLevel="0" collapsed="false">
      <c r="A9" s="9" t="s">
        <v>194</v>
      </c>
      <c r="C9" s="14" t="n">
        <f aca="false">L4*(1+Assumptions!C14)/(Assumptions!C13-Assumptions!C14)</f>
        <v>1871.13774591297</v>
      </c>
      <c r="D9" s="6" t="s">
        <v>195</v>
      </c>
    </row>
    <row r="10" customFormat="false" ht="15" hidden="false" customHeight="false" outlineLevel="0" collapsed="false">
      <c r="A10" s="9" t="s">
        <v>196</v>
      </c>
      <c r="C10" s="14" t="n">
        <f aca="false">C9*L5</f>
        <v>721.404601535047</v>
      </c>
      <c r="D10" s="6" t="s">
        <v>197</v>
      </c>
    </row>
    <row r="11" customFormat="false" ht="15" hidden="false" customHeight="false" outlineLevel="0" collapsed="false">
      <c r="A11" s="30" t="s">
        <v>198</v>
      </c>
      <c r="C11" s="43" t="n">
        <f aca="false">C8+C10</f>
        <v>1277.90457714449</v>
      </c>
      <c r="D11" s="6" t="s">
        <v>199</v>
      </c>
    </row>
    <row r="12" customFormat="false" ht="15" hidden="false" customHeight="false" outlineLevel="0" collapsed="false">
      <c r="A12" s="9" t="s">
        <v>200</v>
      </c>
      <c r="C12" s="40" t="n">
        <f aca="false">Inputs!B9</f>
        <v>45.7</v>
      </c>
      <c r="D12" s="6"/>
    </row>
    <row r="13" customFormat="false" ht="15" hidden="false" customHeight="false" outlineLevel="0" collapsed="false">
      <c r="A13" s="9" t="s">
        <v>201</v>
      </c>
      <c r="C13" s="14" t="n">
        <f aca="false">-Inputs!B10</f>
        <v>-88</v>
      </c>
      <c r="D13" s="6"/>
    </row>
    <row r="14" customFormat="false" ht="15" hidden="false" customHeight="false" outlineLevel="0" collapsed="false">
      <c r="A14" s="30" t="s">
        <v>202</v>
      </c>
      <c r="C14" s="43" t="n">
        <f aca="false">SUM(C11:C13)</f>
        <v>1235.60457714449</v>
      </c>
      <c r="D14" s="6" t="s">
        <v>203</v>
      </c>
    </row>
    <row r="15" customFormat="false" ht="15" hidden="false" customHeight="false" outlineLevel="0" collapsed="false">
      <c r="A15" s="9" t="s">
        <v>204</v>
      </c>
      <c r="C15" s="47" t="n">
        <f aca="false">Inputs!B6</f>
        <v>24.95</v>
      </c>
      <c r="D15" s="6"/>
    </row>
    <row r="16" customFormat="false" ht="15" hidden="false" customHeight="false" outlineLevel="0" collapsed="false">
      <c r="A16" s="9" t="s">
        <v>205</v>
      </c>
      <c r="C16" s="28" t="n">
        <f aca="false">C14/C15</f>
        <v>49.5232295448693</v>
      </c>
      <c r="D16" s="6"/>
    </row>
    <row r="17" customFormat="false" ht="15" hidden="false" customHeight="false" outlineLevel="0" collapsed="false">
      <c r="A17" s="9" t="s">
        <v>206</v>
      </c>
      <c r="C17" s="48" t="n">
        <f aca="false">Inputs!B7</f>
        <v>1.41</v>
      </c>
      <c r="D17" s="6"/>
    </row>
    <row r="18" customFormat="false" ht="15" hidden="false" customHeight="false" outlineLevel="0" collapsed="false">
      <c r="A18" s="30" t="s">
        <v>207</v>
      </c>
      <c r="C18" s="49" t="n">
        <f aca="false">C16*C17</f>
        <v>69.8277536582657</v>
      </c>
      <c r="D18" s="6" t="s">
        <v>208</v>
      </c>
    </row>
    <row r="19" customFormat="false" ht="15" hidden="false" customHeight="false" outlineLevel="0" collapsed="false">
      <c r="A19" s="9" t="s">
        <v>106</v>
      </c>
      <c r="C19" s="22" t="n">
        <f aca="false">Inputs!B5</f>
        <v>33.22</v>
      </c>
      <c r="D19" s="6"/>
    </row>
    <row r="20" customFormat="false" ht="15" hidden="false" customHeight="false" outlineLevel="0" collapsed="false">
      <c r="A20" s="9" t="s">
        <v>209</v>
      </c>
      <c r="C20" s="18" t="n">
        <f aca="false">C18/C19-1</f>
        <v>1.10197933950228</v>
      </c>
      <c r="D20" s="6" t="s">
        <v>210</v>
      </c>
    </row>
    <row r="21" customFormat="false" ht="15" hidden="false" customHeight="false" outlineLevel="0" collapsed="false">
      <c r="A21" s="9" t="s">
        <v>211</v>
      </c>
      <c r="C21" s="18" t="n">
        <f aca="false">C10/C11</f>
        <v>0.564521494356836</v>
      </c>
      <c r="D21" s="6" t="s">
        <v>212</v>
      </c>
    </row>
    <row r="22" customFormat="false" ht="15" hidden="false" customHeight="false" outlineLevel="0" collapsed="false">
      <c r="A22" s="30" t="s">
        <v>213</v>
      </c>
      <c r="C22" s="49" t="n">
        <f aca="false">C18</f>
        <v>69.8277536582657</v>
      </c>
      <c r="D22" s="6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  <col collapsed="false" customWidth="true" hidden="false" outlineLevel="0" max="22" min="7" style="0" width="9"/>
  </cols>
  <sheetData>
    <row r="1" customFormat="false" ht="17.35" hidden="false" customHeight="false" outlineLevel="0" collapsed="false">
      <c r="A1" s="5" t="s">
        <v>215</v>
      </c>
    </row>
    <row r="2" customFormat="false" ht="15" hidden="false" customHeight="false" outlineLevel="0" collapsed="false">
      <c r="A2" s="6" t="s">
        <v>216</v>
      </c>
    </row>
    <row r="3" customFormat="false" ht="15" hidden="false" customHeight="false" outlineLevel="0" collapsed="false">
      <c r="A3" s="9" t="s">
        <v>217</v>
      </c>
      <c r="B3" s="50" t="n">
        <f aca="false">Inputs!B5</f>
        <v>33.22</v>
      </c>
    </row>
    <row r="5" customFormat="false" ht="15" hidden="false" customHeight="false" outlineLevel="0" collapsed="false">
      <c r="A5" s="36" t="s">
        <v>218</v>
      </c>
      <c r="B5" s="51" t="n">
        <v>0.08</v>
      </c>
      <c r="C5" s="51" t="n">
        <v>0.09</v>
      </c>
      <c r="D5" s="51" t="n">
        <v>0.1</v>
      </c>
      <c r="E5" s="51" t="n">
        <v>0.11</v>
      </c>
      <c r="F5" s="51" t="n">
        <v>0.12</v>
      </c>
    </row>
    <row r="6" customFormat="false" ht="15" hidden="false" customHeight="false" outlineLevel="0" collapsed="false">
      <c r="A6" s="52" t="n">
        <v>0.05</v>
      </c>
      <c r="B6" s="53" t="n">
        <f aca="false">(SUMPRODUCT($M22:$V22,'ARR Model'!$C$10:$L$10,1/(1+B$5)^'ARR Model'!$C$2:$L$2)+$V22*'ARR Model'!$L$10*(1+Assumptions!$C$14)/(B$5-Assumptions!$C$14)/(1+B$5)^10+Inputs!$B$9-Inputs!$B$10)/Inputs!$B$6*Inputs!$B$7</f>
        <v>124.620917856096</v>
      </c>
      <c r="C6" s="53" t="n">
        <f aca="false">(SUMPRODUCT($M22:$V22,'ARR Model'!$C$10:$L$10,1/(1+C$5)^'ARR Model'!$C$2:$L$2)+$V22*'ARR Model'!$L$10*(1+Assumptions!$C$14)/(C$5-Assumptions!$C$14)/(1+C$5)^10+Inputs!$B$9-Inputs!$B$10)/Inputs!$B$6*Inputs!$B$7</f>
        <v>102.776707153701</v>
      </c>
      <c r="D6" s="53" t="n">
        <f aca="false">(SUMPRODUCT($M22:$V22,'ARR Model'!$C$10:$L$10,1/(1+D$5)^'ARR Model'!$C$2:$L$2)+$V22*'ARR Model'!$L$10*(1+Assumptions!$C$14)/(D$5-Assumptions!$C$14)/(1+D$5)^10+Inputs!$B$9-Inputs!$B$10)/Inputs!$B$6*Inputs!$B$7</f>
        <v>86.8798152262295</v>
      </c>
      <c r="E6" s="53" t="n">
        <f aca="false">(SUMPRODUCT($M22:$V22,'ARR Model'!$C$10:$L$10,1/(1+E$5)^'ARR Model'!$C$2:$L$2)+$V22*'ARR Model'!$L$10*(1+Assumptions!$C$14)/(E$5-Assumptions!$C$14)/(1+E$5)^10+Inputs!$B$9-Inputs!$B$10)/Inputs!$B$6*Inputs!$B$7</f>
        <v>74.822991176707</v>
      </c>
      <c r="F6" s="53" t="n">
        <f aca="false">(SUMPRODUCT($M22:$V22,'ARR Model'!$C$10:$L$10,1/(1+F$5)^'ARR Model'!$C$2:$L$2)+$V22*'ARR Model'!$L$10*(1+Assumptions!$C$14)/(F$5-Assumptions!$C$14)/(1+F$5)^10+Inputs!$B$9-Inputs!$B$10)/Inputs!$B$6*Inputs!$B$7</f>
        <v>65.3868933941268</v>
      </c>
    </row>
    <row r="7" customFormat="false" ht="15" hidden="false" customHeight="false" outlineLevel="0" collapsed="false">
      <c r="A7" s="52" t="n">
        <v>0.075</v>
      </c>
      <c r="B7" s="53" t="n">
        <f aca="false">(SUMPRODUCT($M23:$V23,'ARR Model'!$C$10:$L$10,1/(1+B$5)^'ARR Model'!$C$2:$L$2)+$V23*'ARR Model'!$L$10*(1+Assumptions!$C$14)/(B$5-Assumptions!$C$14)/(1+B$5)^10+Inputs!$B$9-Inputs!$B$10)/Inputs!$B$6*Inputs!$B$7</f>
        <v>107.970511528541</v>
      </c>
      <c r="C7" s="53" t="n">
        <f aca="false">(SUMPRODUCT($M23:$V23,'ARR Model'!$C$10:$L$10,1/(1+C$5)^'ARR Model'!$C$2:$L$2)+$V23*'ARR Model'!$L$10*(1+Assumptions!$C$14)/(C$5-Assumptions!$C$14)/(1+C$5)^10+Inputs!$B$9-Inputs!$B$10)/Inputs!$B$6*Inputs!$B$7</f>
        <v>89.307640773448</v>
      </c>
      <c r="D7" s="53" t="n">
        <f aca="false">(SUMPRODUCT($M23:$V23,'ARR Model'!$C$10:$L$10,1/(1+D$5)^'ARR Model'!$C$2:$L$2)+$V23*'ARR Model'!$L$10*(1+Assumptions!$C$14)/(D$5-Assumptions!$C$14)/(1+D$5)^10+Inputs!$B$9-Inputs!$B$10)/Inputs!$B$6*Inputs!$B$7</f>
        <v>75.7087498289668</v>
      </c>
      <c r="E7" s="53" t="n">
        <f aca="false">(SUMPRODUCT($M23:$V23,'ARR Model'!$C$10:$L$10,1/(1+E$5)^'ARR Model'!$C$2:$L$2)+$V23*'ARR Model'!$L$10*(1+Assumptions!$C$14)/(E$5-Assumptions!$C$14)/(1+E$5)^10+Inputs!$B$9-Inputs!$B$10)/Inputs!$B$6*Inputs!$B$7</f>
        <v>65.3807842843245</v>
      </c>
      <c r="F7" s="53" t="n">
        <f aca="false">(SUMPRODUCT($M23:$V23,'ARR Model'!$C$10:$L$10,1/(1+F$5)^'ARR Model'!$C$2:$L$2)+$V23*'ARR Model'!$L$10*(1+Assumptions!$C$14)/(F$5-Assumptions!$C$14)/(1+F$5)^10+Inputs!$B$9-Inputs!$B$10)/Inputs!$B$6*Inputs!$B$7</f>
        <v>57.2861101953996</v>
      </c>
    </row>
    <row r="8" customFormat="false" ht="15" hidden="false" customHeight="false" outlineLevel="0" collapsed="false">
      <c r="A8" s="52" t="n">
        <v>0.09</v>
      </c>
      <c r="B8" s="53" t="n">
        <f aca="false">(SUMPRODUCT($M24:$V24,'ARR Model'!$C$10:$L$10,1/(1+B$5)^'ARR Model'!$C$2:$L$2)+$V24*'ARR Model'!$L$10*(1+Assumptions!$C$14)/(B$5-Assumptions!$C$14)/(1+B$5)^10+Inputs!$B$9-Inputs!$B$10)/Inputs!$B$6*Inputs!$B$7</f>
        <v>99.2384544285631</v>
      </c>
      <c r="C8" s="53" t="n">
        <f aca="false">(SUMPRODUCT($M24:$V24,'ARR Model'!$C$10:$L$10,1/(1+C$5)^'ARR Model'!$C$2:$L$2)+$V24*'ARR Model'!$L$10*(1+Assumptions!$C$14)/(C$5-Assumptions!$C$14)/(1+C$5)^10+Inputs!$B$9-Inputs!$B$10)/Inputs!$B$6*Inputs!$B$7</f>
        <v>82.230384368253</v>
      </c>
      <c r="D8" s="53" t="n">
        <f aca="false">(SUMPRODUCT($M24:$V24,'ARR Model'!$C$10:$L$10,1/(1+D$5)^'ARR Model'!$C$2:$L$2)+$V24*'ARR Model'!$L$10*(1+Assumptions!$C$14)/(D$5-Assumptions!$C$14)/(1+D$5)^10+Inputs!$B$9-Inputs!$B$10)/Inputs!$B$6*Inputs!$B$7</f>
        <v>69.8277536582657</v>
      </c>
      <c r="E8" s="53" t="n">
        <f aca="false">(SUMPRODUCT($M24:$V24,'ARR Model'!$C$10:$L$10,1/(1+E$5)^'ARR Model'!$C$2:$L$2)+$V24*'ARR Model'!$L$10*(1+Assumptions!$C$14)/(E$5-Assumptions!$C$14)/(1+E$5)^10+Inputs!$B$9-Inputs!$B$10)/Inputs!$B$6*Inputs!$B$7</f>
        <v>60.4005315747971</v>
      </c>
      <c r="F8" s="53" t="n">
        <f aca="false">(SUMPRODUCT($M24:$V24,'ARR Model'!$C$10:$L$10,1/(1+F$5)^'ARR Model'!$C$2:$L$2)+$V24*'ARR Model'!$L$10*(1+Assumptions!$C$14)/(F$5-Assumptions!$C$14)/(1+F$5)^10+Inputs!$B$9-Inputs!$B$10)/Inputs!$B$6*Inputs!$B$7</f>
        <v>53.0053715499178</v>
      </c>
    </row>
    <row r="9" customFormat="false" ht="15" hidden="false" customHeight="false" outlineLevel="0" collapsed="false">
      <c r="A9" s="52" t="n">
        <v>0.1</v>
      </c>
      <c r="B9" s="53" t="n">
        <f aca="false">(SUMPRODUCT($M25:$V25,'ARR Model'!$C$10:$L$10,1/(1+B$5)^'ARR Model'!$C$2:$L$2)+$V25*'ARR Model'!$L$10*(1+Assumptions!$C$14)/(B$5-Assumptions!$C$14)/(1+B$5)^10+Inputs!$B$9-Inputs!$B$10)/Inputs!$B$6*Inputs!$B$7</f>
        <v>93.8861294950036</v>
      </c>
      <c r="C9" s="53" t="n">
        <f aca="false">(SUMPRODUCT($M25:$V25,'ARR Model'!$C$10:$L$10,1/(1+C$5)^'ARR Model'!$C$2:$L$2)+$V25*'ARR Model'!$L$10*(1+Assumptions!$C$14)/(C$5-Assumptions!$C$14)/(1+C$5)^10+Inputs!$B$9-Inputs!$B$10)/Inputs!$B$6*Inputs!$B$7</f>
        <v>77.8869182429743</v>
      </c>
      <c r="D9" s="53" t="n">
        <f aca="false">(SUMPRODUCT($M25:$V25,'ARR Model'!$C$10:$L$10,1/(1+D$5)^'ARR Model'!$C$2:$L$2)+$V25*'ARR Model'!$L$10*(1+Assumptions!$C$14)/(D$5-Assumptions!$C$14)/(1+D$5)^10+Inputs!$B$9-Inputs!$B$10)/Inputs!$B$6*Inputs!$B$7</f>
        <v>66.2139669847566</v>
      </c>
      <c r="E9" s="53" t="n">
        <f aca="false">(SUMPRODUCT($M25:$V25,'ARR Model'!$C$10:$L$10,1/(1+E$5)^'ARR Model'!$C$2:$L$2)+$V25*'ARR Model'!$L$10*(1+Assumptions!$C$14)/(E$5-Assumptions!$C$14)/(1+E$5)^10+Inputs!$B$9-Inputs!$B$10)/Inputs!$B$6*Inputs!$B$7</f>
        <v>57.3364710822086</v>
      </c>
      <c r="F9" s="53" t="n">
        <f aca="false">(SUMPRODUCT($M25:$V25,'ARR Model'!$C$10:$L$10,1/(1+F$5)^'ARR Model'!$C$2:$L$2)+$V25*'ARR Model'!$L$10*(1+Assumptions!$C$14)/(F$5-Assumptions!$C$14)/(1+F$5)^10+Inputs!$B$9-Inputs!$B$10)/Inputs!$B$6*Inputs!$B$7</f>
        <v>50.3684756110042</v>
      </c>
    </row>
    <row r="10" customFormat="false" ht="15" hidden="false" customHeight="false" outlineLevel="0" collapsed="false">
      <c r="A10" s="52" t="n">
        <v>0.125</v>
      </c>
      <c r="B10" s="53" t="n">
        <f aca="false">(SUMPRODUCT($M26:$V26,'ARR Model'!$C$10:$L$10,1/(1+B$5)^'ARR Model'!$C$2:$L$2)+$V26*'ARR Model'!$L$10*(1+Assumptions!$C$14)/(B$5-Assumptions!$C$14)/(1+B$5)^10+Inputs!$B$9-Inputs!$B$10)/Inputs!$B$6*Inputs!$B$7</f>
        <v>81.9747123715723</v>
      </c>
      <c r="C10" s="53" t="n">
        <f aca="false">(SUMPRODUCT($M26:$V26,'ARR Model'!$C$10:$L$10,1/(1+C$5)^'ARR Model'!$C$2:$L$2)+$V26*'ARR Model'!$L$10*(1+Assumptions!$C$14)/(C$5-Assumptions!$C$14)/(1+C$5)^10+Inputs!$B$9-Inputs!$B$10)/Inputs!$B$6*Inputs!$B$7</f>
        <v>68.2032373952061</v>
      </c>
      <c r="D10" s="53" t="n">
        <f aca="false">(SUMPRODUCT($M26:$V26,'ARR Model'!$C$10:$L$10,1/(1+D$5)^'ARR Model'!$C$2:$L$2)+$V26*'ARR Model'!$L$10*(1+Assumptions!$C$14)/(D$5-Assumptions!$C$14)/(1+D$5)^10+Inputs!$B$9-Inputs!$B$10)/Inputs!$B$6*Inputs!$B$7</f>
        <v>58.1427250983641</v>
      </c>
      <c r="E10" s="53" t="n">
        <f aca="false">(SUMPRODUCT($M26:$V26,'ARR Model'!$C$10:$L$10,1/(1+E$5)^'ARR Model'!$C$2:$L$2)+$V26*'ARR Model'!$L$10*(1+Assumptions!$C$14)/(E$5-Assumptions!$C$14)/(1+E$5)^10+Inputs!$B$9-Inputs!$B$10)/Inputs!$B$6*Inputs!$B$7</f>
        <v>50.4809664980708</v>
      </c>
      <c r="F10" s="53" t="n">
        <f aca="false">(SUMPRODUCT($M26:$V26,'ARR Model'!$C$10:$L$10,1/(1+F$5)^'ARR Model'!$C$2:$L$2)+$V26*'ARR Model'!$L$10*(1+Assumptions!$C$14)/(F$5-Assumptions!$C$14)/(1+F$5)^10+Inputs!$B$9-Inputs!$B$10)/Inputs!$B$6*Inputs!$B$7</f>
        <v>44.4584490381087</v>
      </c>
    </row>
    <row r="11" customFormat="false" ht="15" hidden="false" customHeight="false" outlineLevel="0" collapsed="false">
      <c r="A11" s="52" t="n">
        <v>0.15</v>
      </c>
      <c r="B11" s="53" t="n">
        <f aca="false">(SUMPRODUCT($M27:$V27,'ARR Model'!$C$10:$L$10,1/(1+B$5)^'ARR Model'!$C$2:$L$2)+$V27*'ARR Model'!$L$10*(1+Assumptions!$C$14)/(B$5-Assumptions!$C$14)/(1+B$5)^10+Inputs!$B$9-Inputs!$B$10)/Inputs!$B$6*Inputs!$B$7</f>
        <v>71.8993177378556</v>
      </c>
      <c r="C11" s="53" t="n">
        <f aca="false">(SUMPRODUCT($M27:$V27,'ARR Model'!$C$10:$L$10,1/(1+C$5)^'ARR Model'!$C$2:$L$2)+$V27*'ARR Model'!$L$10*(1+Assumptions!$C$14)/(C$5-Assumptions!$C$14)/(1+C$5)^10+Inputs!$B$9-Inputs!$B$10)/Inputs!$B$6*Inputs!$B$7</f>
        <v>59.9895144796931</v>
      </c>
      <c r="D11" s="53" t="n">
        <f aca="false">(SUMPRODUCT($M27:$V27,'ARR Model'!$C$10:$L$10,1/(1+D$5)^'ARR Model'!$C$2:$L$2)+$V27*'ARR Model'!$L$10*(1+Assumptions!$C$14)/(D$5-Assumptions!$C$14)/(1+D$5)^10+Inputs!$B$9-Inputs!$B$10)/Inputs!$B$6*Inputs!$B$7</f>
        <v>51.2779986604691</v>
      </c>
      <c r="E11" s="53" t="n">
        <f aca="false">(SUMPRODUCT($M27:$V27,'ARR Model'!$C$10:$L$10,1/(1+E$5)^'ARR Model'!$C$2:$L$2)+$V27*'ARR Model'!$L$10*(1+Assumptions!$C$14)/(E$5-Assumptions!$C$14)/(1+E$5)^10+Inputs!$B$9-Inputs!$B$10)/Inputs!$B$6*Inputs!$B$7</f>
        <v>44.6345793825107</v>
      </c>
      <c r="F11" s="53" t="n">
        <f aca="false">(SUMPRODUCT($M27:$V27,'ARR Model'!$C$10:$L$10,1/(1+F$5)^'ARR Model'!$C$2:$L$2)+$V27*'ARR Model'!$L$10*(1+Assumptions!$C$14)/(F$5-Assumptions!$C$14)/(1+F$5)^10+Inputs!$B$9-Inputs!$B$10)/Inputs!$B$6*Inputs!$B$7</f>
        <v>39.4050392830853</v>
      </c>
    </row>
    <row r="12" customFormat="false" ht="15" hidden="false" customHeight="false" outlineLevel="0" collapsed="false">
      <c r="A12" s="52" t="n">
        <v>0.2</v>
      </c>
      <c r="B12" s="53" t="n">
        <f aca="false">(SUMPRODUCT($M28:$V28,'ARR Model'!$C$10:$L$10,1/(1+B$5)^'ARR Model'!$C$2:$L$2)+$V28*'ARR Model'!$L$10*(1+Assumptions!$C$14)/(B$5-Assumptions!$C$14)/(1+B$5)^10+Inputs!$B$9-Inputs!$B$10)/Inputs!$B$6*Inputs!$B$7</f>
        <v>56.1471690404562</v>
      </c>
      <c r="C12" s="53" t="n">
        <f aca="false">(SUMPRODUCT($M28:$V28,'ARR Model'!$C$10:$L$10,1/(1+C$5)^'ARR Model'!$C$2:$L$2)+$V28*'ARR Model'!$L$10*(1+Assumptions!$C$14)/(C$5-Assumptions!$C$14)/(1+C$5)^10+Inputs!$B$9-Inputs!$B$10)/Inputs!$B$6*Inputs!$B$7</f>
        <v>47.0915297805742</v>
      </c>
      <c r="D12" s="53" t="n">
        <f aca="false">(SUMPRODUCT($M28:$V28,'ARR Model'!$C$10:$L$10,1/(1+D$5)^'ARR Model'!$C$2:$L$2)+$V28*'ARR Model'!$L$10*(1+Assumptions!$C$14)/(D$5-Assumptions!$C$14)/(1+D$5)^10+Inputs!$B$9-Inputs!$B$10)/Inputs!$B$6*Inputs!$B$7</f>
        <v>40.4518724107044</v>
      </c>
      <c r="E12" s="53" t="n">
        <f aca="false">(SUMPRODUCT($M28:$V28,'ARR Model'!$C$10:$L$10,1/(1+E$5)^'ARR Model'!$C$2:$L$2)+$V28*'ARR Model'!$L$10*(1+Assumptions!$C$14)/(E$5-Assumptions!$C$14)/(1+E$5)^10+Inputs!$B$9-Inputs!$B$10)/Inputs!$B$6*Inputs!$B$7</f>
        <v>35.3754677485268</v>
      </c>
      <c r="F12" s="53" t="n">
        <f aca="false">(SUMPRODUCT($M28:$V28,'ARR Model'!$C$10:$L$10,1/(1+F$5)^'ARR Model'!$C$2:$L$2)+$V28*'ARR Model'!$L$10*(1+Assumptions!$C$14)/(F$5-Assumptions!$C$14)/(1+F$5)^10+Inputs!$B$9-Inputs!$B$10)/Inputs!$B$6*Inputs!$B$7</f>
        <v>31.3686310940241</v>
      </c>
    </row>
    <row r="13" customFormat="false" ht="15" hidden="false" customHeight="false" outlineLevel="0" collapsed="false">
      <c r="A13" s="52" t="n">
        <v>0.25</v>
      </c>
      <c r="B13" s="53" t="n">
        <f aca="false">(SUMPRODUCT($M29:$V29,'ARR Model'!$C$10:$L$10,1/(1+B$5)^'ARR Model'!$C$2:$L$2)+$V29*'ARR Model'!$L$10*(1+Assumptions!$C$14)/(B$5-Assumptions!$C$14)/(1+B$5)^10+Inputs!$B$9-Inputs!$B$10)/Inputs!$B$6*Inputs!$B$7</f>
        <v>44.803130319823</v>
      </c>
      <c r="C13" s="53" t="n">
        <f aca="false">(SUMPRODUCT($M29:$V29,'ARR Model'!$C$10:$L$10,1/(1+C$5)^'ARR Model'!$C$2:$L$2)+$V29*'ARR Model'!$L$10*(1+Assumptions!$C$14)/(C$5-Assumptions!$C$14)/(1+C$5)^10+Inputs!$B$9-Inputs!$B$10)/Inputs!$B$6*Inputs!$B$7</f>
        <v>37.7416936977752</v>
      </c>
      <c r="D13" s="53" t="n">
        <f aca="false">(SUMPRODUCT($M29:$V29,'ARR Model'!$C$10:$L$10,1/(1+D$5)^'ARR Model'!$C$2:$L$2)+$V29*'ARR Model'!$L$10*(1+Assumptions!$C$14)/(D$5-Assumptions!$C$14)/(1+D$5)^10+Inputs!$B$9-Inputs!$B$10)/Inputs!$B$6*Inputs!$B$7</f>
        <v>32.5535344467003</v>
      </c>
      <c r="E13" s="53" t="n">
        <f aca="false">(SUMPRODUCT($M29:$V29,'ARR Model'!$C$10:$L$10,1/(1+E$5)^'ARR Model'!$C$2:$L$2)+$V29*'ARR Model'!$L$10*(1+Assumptions!$C$14)/(E$5-Assumptions!$C$14)/(1+E$5)^10+Inputs!$B$9-Inputs!$B$10)/Inputs!$B$6*Inputs!$B$7</f>
        <v>28.5781119103243</v>
      </c>
      <c r="F13" s="53" t="n">
        <f aca="false">(SUMPRODUCT($M29:$V29,'ARR Model'!$C$10:$L$10,1/(1+F$5)^'ARR Model'!$C$2:$L$2)+$V29*'ARR Model'!$L$10*(1+Assumptions!$C$14)/(F$5-Assumptions!$C$14)/(1+F$5)^10+Inputs!$B$9-Inputs!$B$10)/Inputs!$B$6*Inputs!$B$7</f>
        <v>25.4329618280976</v>
      </c>
    </row>
    <row r="14" customFormat="false" ht="15" hidden="false" customHeight="false" outlineLevel="0" collapsed="false">
      <c r="A14" s="52" t="n">
        <v>0.3</v>
      </c>
      <c r="B14" s="53" t="n">
        <f aca="false">(SUMPRODUCT($M30:$V30,'ARR Model'!$C$10:$L$10,1/(1+B$5)^'ARR Model'!$C$2:$L$2)+$V30*'ARR Model'!$L$10*(1+Assumptions!$C$14)/(B$5-Assumptions!$C$14)/(1+B$5)^10+Inputs!$B$9-Inputs!$B$10)/Inputs!$B$6*Inputs!$B$7</f>
        <v>36.5555771543656</v>
      </c>
      <c r="C14" s="53" t="n">
        <f aca="false">(SUMPRODUCT($M30:$V30,'ARR Model'!$C$10:$L$10,1/(1+C$5)^'ARR Model'!$C$2:$L$2)+$V30*'ARR Model'!$L$10*(1+Assumptions!$C$14)/(C$5-Assumptions!$C$14)/(1+C$5)^10+Inputs!$B$9-Inputs!$B$10)/Inputs!$B$6*Inputs!$B$7</f>
        <v>30.8954023802142</v>
      </c>
      <c r="D14" s="53" t="n">
        <f aca="false">(SUMPRODUCT($M30:$V30,'ARR Model'!$C$10:$L$10,1/(1+D$5)^'ARR Model'!$C$2:$L$2)+$V30*'ARR Model'!$L$10*(1+Assumptions!$C$14)/(D$5-Assumptions!$C$14)/(1+D$5)^10+Inputs!$B$9-Inputs!$B$10)/Inputs!$B$6*Inputs!$B$7</f>
        <v>26.7301491744413</v>
      </c>
      <c r="E14" s="53" t="n">
        <f aca="false">(SUMPRODUCT($M30:$V30,'ARR Model'!$C$10:$L$10,1/(1+E$5)^'ARR Model'!$C$2:$L$2)+$V30*'ARR Model'!$L$10*(1+Assumptions!$C$14)/(E$5-Assumptions!$C$14)/(1+E$5)^10+Inputs!$B$9-Inputs!$B$10)/Inputs!$B$6*Inputs!$B$7</f>
        <v>23.5330466528233</v>
      </c>
      <c r="F14" s="53" t="n">
        <f aca="false">(SUMPRODUCT($M30:$V30,'ARR Model'!$C$10:$L$10,1/(1+F$5)^'ARR Model'!$C$2:$L$2)+$V30*'ARR Model'!$L$10*(1+Assumptions!$C$14)/(F$5-Assumptions!$C$14)/(1+F$5)^10+Inputs!$B$9-Inputs!$B$10)/Inputs!$B$6*Inputs!$B$7</f>
        <v>20.999061684423</v>
      </c>
    </row>
    <row r="16" customFormat="false" ht="15" hidden="false" customHeight="false" outlineLevel="0" collapsed="false">
      <c r="A16" s="6" t="s">
        <v>219</v>
      </c>
    </row>
    <row r="17" customFormat="false" ht="15" hidden="false" customHeight="false" outlineLevel="0" collapsed="false">
      <c r="A17" s="6" t="s">
        <v>220</v>
      </c>
    </row>
    <row r="18" customFormat="false" ht="15" hidden="false" customHeight="false" outlineLevel="0" collapsed="false">
      <c r="A18" s="6" t="s">
        <v>221</v>
      </c>
    </row>
    <row r="20" customFormat="false" ht="15" hidden="false" customHeight="false" outlineLevel="0" collapsed="false">
      <c r="A20" s="30" t="s">
        <v>222</v>
      </c>
    </row>
    <row r="21" customFormat="false" ht="15" hidden="false" customHeight="false" outlineLevel="0" collapsed="false">
      <c r="A21" s="7" t="s">
        <v>117</v>
      </c>
      <c r="B21" s="8" t="s">
        <v>118</v>
      </c>
      <c r="C21" s="8" t="s">
        <v>119</v>
      </c>
      <c r="D21" s="8" t="s">
        <v>120</v>
      </c>
      <c r="E21" s="8" t="s">
        <v>121</v>
      </c>
      <c r="F21" s="8" t="s">
        <v>122</v>
      </c>
      <c r="G21" s="8" t="s">
        <v>123</v>
      </c>
      <c r="H21" s="8" t="s">
        <v>124</v>
      </c>
      <c r="I21" s="8" t="s">
        <v>125</v>
      </c>
      <c r="J21" s="8" t="s">
        <v>126</v>
      </c>
      <c r="K21" s="8" t="s">
        <v>127</v>
      </c>
      <c r="L21" s="8" t="s">
        <v>128</v>
      </c>
      <c r="M21" s="8" t="s">
        <v>223</v>
      </c>
      <c r="N21" s="8" t="s">
        <v>224</v>
      </c>
      <c r="O21" s="8" t="s">
        <v>225</v>
      </c>
      <c r="P21" s="8" t="s">
        <v>226</v>
      </c>
      <c r="Q21" s="8" t="s">
        <v>227</v>
      </c>
      <c r="R21" s="8" t="s">
        <v>228</v>
      </c>
      <c r="S21" s="8" t="s">
        <v>229</v>
      </c>
      <c r="T21" s="8" t="s">
        <v>230</v>
      </c>
      <c r="U21" s="8" t="s">
        <v>231</v>
      </c>
      <c r="V21" s="8" t="s">
        <v>232</v>
      </c>
    </row>
    <row r="22" customFormat="false" ht="15" hidden="false" customHeight="false" outlineLevel="0" collapsed="false">
      <c r="A22" s="18" t="n">
        <f aca="false">A6</f>
        <v>0.05</v>
      </c>
      <c r="B22" s="31" t="n">
        <f aca="false">'ARR Model'!$B$17</f>
        <v>255.1</v>
      </c>
      <c r="C22" s="32" t="n">
        <f aca="false">B22*(1-$A22+Assumptions!$C$6)+'ARR Model'!C$14</f>
        <v>289.1374</v>
      </c>
      <c r="D22" s="32" t="n">
        <f aca="false">C22*(1-$A22+Assumptions!$C$6)+'ARR Model'!D$14</f>
        <v>326.145436</v>
      </c>
      <c r="E22" s="32" t="n">
        <f aca="false">D22*(1-$A22+Assumptions!$C$6)+'ARR Model'!E$14</f>
        <v>366.184122806667</v>
      </c>
      <c r="F22" s="32" t="n">
        <f aca="false">E22*(1-$A22+Assumptions!$C$6)+'ARR Model'!F$14</f>
        <v>409.289653514011</v>
      </c>
      <c r="G22" s="32" t="n">
        <f aca="false">F22*(1-$A22+Assumptions!$C$6)+'ARR Model'!G$14</f>
        <v>455.472794977195</v>
      </c>
      <c r="H22" s="32" t="n">
        <f aca="false">G22*(1-$A22+Assumptions!$C$6)+'ARR Model'!H$14</f>
        <v>504.717817470575</v>
      </c>
      <c r="I22" s="32" t="n">
        <f aca="false">H22*(1-$A22+Assumptions!$C$6)+'ARR Model'!I$14</f>
        <v>556.982026979999</v>
      </c>
      <c r="J22" s="32" t="n">
        <f aca="false">I22*(1-$A22+Assumptions!$C$6)+'ARR Model'!J$14</f>
        <v>612.195951232492</v>
      </c>
      <c r="K22" s="32" t="n">
        <f aca="false">J22*(1-$A22+Assumptions!$C$6)+'ARR Model'!K$14</f>
        <v>670.264209853012</v>
      </c>
      <c r="L22" s="32" t="n">
        <f aca="false">K22*(1-$A22+Assumptions!$C$6)+'ARR Model'!L$14</f>
        <v>731.067075734236</v>
      </c>
      <c r="M22" s="32" t="n">
        <f aca="false">AVERAGE(B22,C22)*Inputs!$B$36</f>
        <v>288.899631919689</v>
      </c>
      <c r="N22" s="32" t="n">
        <f aca="false">AVERAGE(C22,D22)*Inputs!$B$36</f>
        <v>326.612953918459</v>
      </c>
      <c r="O22" s="32" t="n">
        <f aca="false">AVERAGE(D22,E22)*Inputs!$B$36</f>
        <v>367.511962070902</v>
      </c>
      <c r="P22" s="32" t="n">
        <f aca="false">AVERAGE(E22,F22)*Inputs!$B$36</f>
        <v>411.647726786903</v>
      </c>
      <c r="Q22" s="32" t="n">
        <f aca="false">AVERAGE(F22,G22)*Inputs!$B$36</f>
        <v>459.045175996868</v>
      </c>
      <c r="R22" s="32" t="n">
        <f aca="false">AVERAGE(G22,H22)*Inputs!$B$36</f>
        <v>509.701675241174</v>
      </c>
      <c r="S22" s="32" t="n">
        <f aca="false">AVERAGE(H22,I22)*Inputs!$B$36</f>
        <v>563.586211221356</v>
      </c>
      <c r="T22" s="32" t="n">
        <f aca="false">AVERAGE(I22,J22)*Inputs!$B$36</f>
        <v>620.639242275879</v>
      </c>
      <c r="U22" s="32" t="n">
        <f aca="false">AVERAGE(J22,K22)*Inputs!$B$36</f>
        <v>680.773259039652</v>
      </c>
      <c r="V22" s="32" t="n">
        <f aca="false">AVERAGE(K22,L22)*Inputs!$B$36</f>
        <v>743.874075180611</v>
      </c>
    </row>
    <row r="23" customFormat="false" ht="15" hidden="false" customHeight="false" outlineLevel="0" collapsed="false">
      <c r="A23" s="18" t="n">
        <f aca="false">A7</f>
        <v>0.075</v>
      </c>
      <c r="B23" s="31" t="n">
        <f aca="false">'ARR Model'!$B$17</f>
        <v>255.1</v>
      </c>
      <c r="C23" s="32" t="n">
        <f aca="false">B23*(1-$A23+Assumptions!$C$6)+'ARR Model'!C$14</f>
        <v>282.7599</v>
      </c>
      <c r="D23" s="32" t="n">
        <f aca="false">C23*(1-$A23+Assumptions!$C$6)+'ARR Model'!D$14</f>
        <v>312.5076135</v>
      </c>
      <c r="E23" s="32" t="n">
        <f aca="false">D23*(1-$A23+Assumptions!$C$6)+'ARR Model'!E$14</f>
        <v>344.324475294167</v>
      </c>
      <c r="F23" s="32" t="n">
        <f aca="false">E23*(1-$A23+Assumptions!$C$6)+'ARR Model'!F$14</f>
        <v>378.166104693782</v>
      </c>
      <c r="G23" s="32" t="n">
        <f aca="false">F23*(1-$A23+Assumptions!$C$6)+'ARR Model'!G$14</f>
        <v>413.961387075015</v>
      </c>
      <c r="H23" s="32" t="n">
        <f aca="false">G23*(1-$A23+Assumptions!$C$6)+'ARR Model'!H$14</f>
        <v>451.612032654454</v>
      </c>
      <c r="I23" s="32" t="n">
        <f aca="false">H23*(1-$A23+Assumptions!$C$6)+'ARR Model'!I$14</f>
        <v>490.992767803033</v>
      </c>
      <c r="J23" s="32" t="n">
        <f aca="false">I23*(1-$A23+Assumptions!$C$6)+'ARR Model'!J$14</f>
        <v>531.952195085142</v>
      </c>
      <c r="K23" s="32" t="n">
        <f aca="false">J23*(1-$A23+Assumptions!$C$6)+'ARR Model'!K$14</f>
        <v>574.314336144113</v>
      </c>
      <c r="L23" s="32" t="n">
        <f aca="false">K23*(1-$A23+Assumptions!$C$6)+'ARR Model'!L$14</f>
        <v>617.880847410467</v>
      </c>
      <c r="M23" s="32" t="n">
        <f aca="false">AVERAGE(B23,C23)*Inputs!$B$36</f>
        <v>285.514239069863</v>
      </c>
      <c r="N23" s="32" t="n">
        <f aca="false">AVERAGE(C23,D23)*Inputs!$B$36</f>
        <v>315.988143306392</v>
      </c>
      <c r="O23" s="32" t="n">
        <f aca="false">AVERAGE(D23,E23)*Inputs!$B$36</f>
        <v>348.668703557813</v>
      </c>
      <c r="P23" s="32" t="n">
        <f aca="false">AVERAGE(E23,F23)*Inputs!$B$36</f>
        <v>383.522452929477</v>
      </c>
      <c r="Q23" s="32" t="n">
        <f aca="false">AVERAGE(F23,G23)*Inputs!$B$36</f>
        <v>420.488082600482</v>
      </c>
      <c r="R23" s="32" t="n">
        <f aca="false">AVERAGE(G23,H23)*Inputs!$B$36</f>
        <v>459.475666977884</v>
      </c>
      <c r="S23" s="32" t="n">
        <f aca="false">AVERAGE(H23,I23)*Inputs!$B$36</f>
        <v>500.36653103572</v>
      </c>
      <c r="T23" s="32" t="n">
        <f aca="false">AVERAGE(I23,J23)*Inputs!$B$36</f>
        <v>543.013808408781</v>
      </c>
      <c r="U23" s="32" t="n">
        <f aca="false">AVERAGE(J23,K23)*Inputs!$B$36</f>
        <v>587.243716946322</v>
      </c>
      <c r="V23" s="32" t="n">
        <f aca="false">AVERAGE(K23,L23)*Inputs!$B$36</f>
        <v>632.857553900823</v>
      </c>
    </row>
    <row r="24" customFormat="false" ht="15" hidden="false" customHeight="false" outlineLevel="0" collapsed="false">
      <c r="A24" s="18" t="n">
        <f aca="false">A8</f>
        <v>0.09</v>
      </c>
      <c r="B24" s="31" t="n">
        <f aca="false">'ARR Model'!$B$17</f>
        <v>255.1</v>
      </c>
      <c r="C24" s="32" t="n">
        <f aca="false">B24*(1-$A24+Assumptions!$C$6)+'ARR Model'!C$14</f>
        <v>278.9334</v>
      </c>
      <c r="D24" s="32" t="n">
        <f aca="false">C24*(1-$A24+Assumptions!$C$6)+'ARR Model'!D$14</f>
        <v>304.47798</v>
      </c>
      <c r="E24" s="32" t="n">
        <f aca="false">D24*(1-$A24+Assumptions!$C$6)+'ARR Model'!E$14</f>
        <v>331.687523926667</v>
      </c>
      <c r="F24" s="32" t="n">
        <f aca="false">E24*(1-$A24+Assumptions!$C$6)+'ARR Model'!F$14</f>
        <v>360.490655710544</v>
      </c>
      <c r="G24" s="32" t="n">
        <f aca="false">F24*(1-$A24+Assumptions!$C$6)+'ARR Model'!G$14</f>
        <v>390.790201011203</v>
      </c>
      <c r="H24" s="32" t="n">
        <f aca="false">G24*(1-$A24+Assumptions!$C$6)+'ARR Model'!H$14</f>
        <v>422.463137645155</v>
      </c>
      <c r="I24" s="32" t="n">
        <f aca="false">H24*(1-$A24+Assumptions!$C$6)+'ARR Model'!I$14</f>
        <v>455.36118125401</v>
      </c>
      <c r="J24" s="32" t="n">
        <f aca="false">I24*(1-$A24+Assumptions!$C$6)+'ARR Model'!J$14</f>
        <v>489.312032884563</v>
      </c>
      <c r="K24" s="32" t="n">
        <f aca="false">J24*(1-$A24+Assumptions!$C$6)+'ARR Model'!K$14</f>
        <v>524.121292639263</v>
      </c>
      <c r="L24" s="32" t="n">
        <f aca="false">K24*(1-$A24+Assumptions!$C$6)+'ARR Model'!L$14</f>
        <v>559.575019298504</v>
      </c>
      <c r="M24" s="32" t="n">
        <f aca="false">AVERAGE(B24,C24)*Inputs!$B$36</f>
        <v>283.483003359967</v>
      </c>
      <c r="N24" s="32" t="n">
        <f aca="false">AVERAGE(C24,D24)*Inputs!$B$36</f>
        <v>309.694506367548</v>
      </c>
      <c r="O24" s="32" t="n">
        <f aca="false">AVERAGE(D24,E24)*Inputs!$B$36</f>
        <v>337.698180838761</v>
      </c>
      <c r="P24" s="32" t="n">
        <f aca="false">AVERAGE(E24,F24)*Inputs!$B$36</f>
        <v>367.431604884248</v>
      </c>
      <c r="Q24" s="32" t="n">
        <f aca="false">AVERAGE(F24,G24)*Inputs!$B$36</f>
        <v>398.805306241763</v>
      </c>
      <c r="R24" s="32" t="n">
        <f aca="false">AVERAGE(G24,H24)*Inputs!$B$36</f>
        <v>431.702397143745</v>
      </c>
      <c r="S24" s="32" t="n">
        <f aca="false">AVERAGE(H24,I24)*Inputs!$B$36</f>
        <v>465.978858895254</v>
      </c>
      <c r="T24" s="32" t="n">
        <f aca="false">AVERAGE(I24,J24)*Inputs!$B$36</f>
        <v>501.464515024184</v>
      </c>
      <c r="U24" s="32" t="n">
        <f aca="false">AVERAGE(J24,K24)*Inputs!$B$36</f>
        <v>537.964709369439</v>
      </c>
      <c r="V24" s="32" t="n">
        <f aca="false">AVERAGE(K24,L24)*Inputs!$B$36</f>
        <v>575.262680645514</v>
      </c>
    </row>
    <row r="25" customFormat="false" ht="15" hidden="false" customHeight="false" outlineLevel="0" collapsed="false">
      <c r="A25" s="18" t="n">
        <f aca="false">A9</f>
        <v>0.1</v>
      </c>
      <c r="B25" s="31" t="n">
        <f aca="false">'ARR Model'!$B$17</f>
        <v>255.1</v>
      </c>
      <c r="C25" s="32" t="n">
        <f aca="false">B25*(1-$A25+Assumptions!$C$6)+'ARR Model'!C$14</f>
        <v>276.3824</v>
      </c>
      <c r="D25" s="32" t="n">
        <f aca="false">C25*(1-$A25+Assumptions!$C$6)+'ARR Model'!D$14</f>
        <v>299.188666</v>
      </c>
      <c r="E25" s="32" t="n">
        <f aca="false">D25*(1-$A25+Assumptions!$C$6)+'ARR Model'!E$14</f>
        <v>323.459216406667</v>
      </c>
      <c r="F25" s="32" t="n">
        <f aca="false">E25*(1-$A25+Assumptions!$C$6)+'ARR Model'!F$14</f>
        <v>349.110039101678</v>
      </c>
      <c r="G25" s="32" t="n">
        <f aca="false">F25*(1-$A25+Assumptions!$C$6)+'ARR Model'!G$14</f>
        <v>376.032290177408</v>
      </c>
      <c r="H25" s="32" t="n">
        <f aca="false">G25*(1-$A25+Assumptions!$C$6)+'ARR Model'!H$14</f>
        <v>404.092483017924</v>
      </c>
      <c r="I25" s="32" t="n">
        <f aca="false">H25*(1-$A25+Assumptions!$C$6)+'ARR Model'!I$14</f>
        <v>433.133308342872</v>
      </c>
      <c r="J25" s="32" t="n">
        <f aca="false">I25*(1-$A25+Assumptions!$C$6)+'ARR Model'!J$14</f>
        <v>462.975105619108</v>
      </c>
      <c r="K25" s="32" t="n">
        <f aca="false">J25*(1-$A25+Assumptions!$C$6)+'ARR Model'!K$14</f>
        <v>493.417983590271</v>
      </c>
      <c r="L25" s="32" t="n">
        <f aca="false">K25*(1-$A25+Assumptions!$C$6)+'ARR Model'!L$14</f>
        <v>524.244563504099</v>
      </c>
      <c r="M25" s="32" t="n">
        <f aca="false">AVERAGE(B25,C25)*Inputs!$B$36</f>
        <v>282.128846220037</v>
      </c>
      <c r="N25" s="32" t="n">
        <f aca="false">AVERAGE(C25,D25)*Inputs!$B$36</f>
        <v>305.532602336816</v>
      </c>
      <c r="O25" s="32" t="n">
        <f aca="false">AVERAGE(D25,E25)*Inputs!$B$36</f>
        <v>330.522569824969</v>
      </c>
      <c r="P25" s="32" t="n">
        <f aca="false">AVERAGE(E25,F25)*Inputs!$B$36</f>
        <v>357.022524282344</v>
      </c>
      <c r="Q25" s="32" t="n">
        <f aca="false">AVERAGE(F25,G25)*Inputs!$B$36</f>
        <v>384.930091203055</v>
      </c>
      <c r="R25" s="32" t="n">
        <f aca="false">AVERAGE(G25,H25)*Inputs!$B$36</f>
        <v>414.116633343394</v>
      </c>
      <c r="S25" s="32" t="n">
        <f aca="false">AVERAGE(H25,I25)*Inputs!$B$36</f>
        <v>444.427786399472</v>
      </c>
      <c r="T25" s="32" t="n">
        <f aca="false">AVERAGE(I25,J25)*Inputs!$B$36</f>
        <v>475.684675389365</v>
      </c>
      <c r="U25" s="32" t="n">
        <f aca="false">AVERAGE(J25,K25)*Inputs!$B$36</f>
        <v>507.685821377075</v>
      </c>
      <c r="V25" s="32" t="n">
        <f aca="false">AVERAGE(K25,L25)*Inputs!$B$36</f>
        <v>540.209723319302</v>
      </c>
    </row>
    <row r="26" customFormat="false" ht="15" hidden="false" customHeight="false" outlineLevel="0" collapsed="false">
      <c r="A26" s="18" t="n">
        <f aca="false">A10</f>
        <v>0.125</v>
      </c>
      <c r="B26" s="31" t="n">
        <f aca="false">'ARR Model'!$B$17</f>
        <v>255.1</v>
      </c>
      <c r="C26" s="32" t="n">
        <f aca="false">B26*(1-$A26+Assumptions!$C$6)+'ARR Model'!C$14</f>
        <v>270.0049</v>
      </c>
      <c r="D26" s="32" t="n">
        <f aca="false">C26*(1-$A26+Assumptions!$C$6)+'ARR Model'!D$14</f>
        <v>286.1885935</v>
      </c>
      <c r="E26" s="32" t="n">
        <f aca="false">D26*(1-$A26+Assumptions!$C$6)+'ARR Model'!E$14</f>
        <v>303.564430519167</v>
      </c>
      <c r="F26" s="32" t="n">
        <f aca="false">E26*(1-$A26+Assumptions!$C$6)+'ARR Model'!F$14</f>
        <v>322.024038168949</v>
      </c>
      <c r="G26" s="32" t="n">
        <f aca="false">F26*(1-$A26+Assumptions!$C$6)+'ARR Model'!G$14</f>
        <v>341.437408309109</v>
      </c>
      <c r="H26" s="32" t="n">
        <f aca="false">G26*(1-$A26+Assumptions!$C$6)+'ARR Model'!H$14</f>
        <v>361.653563579264</v>
      </c>
      <c r="I26" s="32" t="n">
        <f aca="false">H26*(1-$A26+Assumptions!$C$6)+'ARR Model'!I$14</f>
        <v>382.501828203504</v>
      </c>
      <c r="J26" s="32" t="n">
        <f aca="false">I26*(1-$A26+Assumptions!$C$6)+'ARR Model'!J$14</f>
        <v>403.793709377439</v>
      </c>
      <c r="K26" s="32" t="n">
        <f aca="false">J26*(1-$A26+Assumptions!$C$6)+'ARR Model'!K$14</f>
        <v>425.325372539</v>
      </c>
      <c r="L26" s="32" t="n">
        <f aca="false">K26*(1-$A26+Assumptions!$C$6)+'ARR Model'!L$14</f>
        <v>446.880670360378</v>
      </c>
      <c r="M26" s="32" t="n">
        <f aca="false">AVERAGE(B26,C26)*Inputs!$B$36</f>
        <v>278.743453370211</v>
      </c>
      <c r="N26" s="32" t="n">
        <f aca="false">AVERAGE(C26,D26)*Inputs!$B$36</f>
        <v>295.246331009732</v>
      </c>
      <c r="O26" s="32" t="n">
        <f aca="false">AVERAGE(D26,E26)*Inputs!$B$36</f>
        <v>313.060865649183</v>
      </c>
      <c r="P26" s="32" t="n">
        <f aca="false">AVERAGE(E26,F26)*Inputs!$B$36</f>
        <v>332.083532548844</v>
      </c>
      <c r="Q26" s="32" t="n">
        <f aca="false">AVERAGE(F26,G26)*Inputs!$B$36</f>
        <v>352.187790990504</v>
      </c>
      <c r="R26" s="32" t="n">
        <f aca="false">AVERAGE(G26,H26)*Inputs!$B$36</f>
        <v>373.224484360331</v>
      </c>
      <c r="S26" s="32" t="n">
        <f aca="false">AVERAGE(H26,I26)*Inputs!$B$36</f>
        <v>395.022868287062</v>
      </c>
      <c r="T26" s="32" t="n">
        <f aca="false">AVERAGE(I26,J26)*Inputs!$B$36</f>
        <v>417.392283932027</v>
      </c>
      <c r="U26" s="32" t="n">
        <f aca="false">AVERAGE(J26,K26)*Inputs!$B$36</f>
        <v>440.124470650583</v>
      </c>
      <c r="V26" s="32" t="n">
        <f aca="false">AVERAGE(K26,L26)*Inputs!$B$36</f>
        <v>462.996487841075</v>
      </c>
    </row>
    <row r="27" customFormat="false" ht="15" hidden="false" customHeight="false" outlineLevel="0" collapsed="false">
      <c r="A27" s="18" t="n">
        <f aca="false">A11</f>
        <v>0.15</v>
      </c>
      <c r="B27" s="31" t="n">
        <f aca="false">'ARR Model'!$B$17</f>
        <v>255.1</v>
      </c>
      <c r="C27" s="32" t="n">
        <f aca="false">B27*(1-$A27+Assumptions!$C$6)+'ARR Model'!C$14</f>
        <v>263.6274</v>
      </c>
      <c r="D27" s="32" t="n">
        <f aca="false">C27*(1-$A27+Assumptions!$C$6)+'ARR Model'!D$14</f>
        <v>273.507396</v>
      </c>
      <c r="E27" s="32" t="n">
        <f aca="false">D27*(1-$A27+Assumptions!$C$6)+'ARR Model'!E$14</f>
        <v>284.616202006667</v>
      </c>
      <c r="F27" s="32" t="n">
        <f aca="false">E27*(1-$A27+Assumptions!$C$6)+'ARR Model'!F$14</f>
        <v>296.813074889344</v>
      </c>
      <c r="G27" s="32" t="n">
        <f aca="false">F27*(1-$A27+Assumptions!$C$6)+'ARR Model'!G$14</f>
        <v>309.940611504854</v>
      </c>
      <c r="H27" s="32" t="n">
        <f aca="false">G27*(1-$A27+Assumptions!$C$6)+'ARR Model'!H$14</f>
        <v>323.825607343578</v>
      </c>
      <c r="I27" s="32" t="n">
        <f aca="false">H27*(1-$A27+Assumptions!$C$6)+'ARR Model'!I$14</f>
        <v>338.280489814835</v>
      </c>
      <c r="J27" s="32" t="n">
        <f aca="false">I27*(1-$A27+Assumptions!$C$6)+'ARR Model'!J$14</f>
        <v>353.105318970889</v>
      </c>
      <c r="K27" s="32" t="n">
        <f aca="false">J27*(1-$A27+Assumptions!$C$6)+'ARR Model'!K$14</f>
        <v>368.090326726472</v>
      </c>
      <c r="L27" s="32" t="n">
        <f aca="false">K27*(1-$A27+Assumptions!$C$6)+'ARR Model'!L$14</f>
        <v>383.018943441253</v>
      </c>
      <c r="M27" s="32" t="n">
        <f aca="false">AVERAGE(B27,C27)*Inputs!$B$36</f>
        <v>275.358060520385</v>
      </c>
      <c r="N27" s="32" t="n">
        <f aca="false">AVERAGE(C27,D27)*Inputs!$B$36</f>
        <v>285.129329325138</v>
      </c>
      <c r="O27" s="32" t="n">
        <f aca="false">AVERAGE(D27,E27)*Inputs!$B$36</f>
        <v>296.270895807268</v>
      </c>
      <c r="P27" s="32" t="n">
        <f aca="false">AVERAGE(E27,F27)*Inputs!$B$36</f>
        <v>308.642338954633</v>
      </c>
      <c r="Q27" s="32" t="n">
        <f aca="false">AVERAGE(F27,G27)*Inputs!$B$36</f>
        <v>322.085392634167</v>
      </c>
      <c r="R27" s="32" t="n">
        <f aca="false">AVERAGE(G27,H27)*Inputs!$B$36</f>
        <v>336.424559114175</v>
      </c>
      <c r="S27" s="32" t="n">
        <f aca="false">AVERAGE(H27,I27)*Inputs!$B$36</f>
        <v>351.468325699129</v>
      </c>
      <c r="T27" s="32" t="n">
        <f aca="false">AVERAGE(I27,J27)*Inputs!$B$36</f>
        <v>367.010987618072</v>
      </c>
      <c r="U27" s="32" t="n">
        <f aca="false">AVERAGE(J27,K27)*Inputs!$B$36</f>
        <v>382.835057980304</v>
      </c>
      <c r="V27" s="32" t="n">
        <f aca="false">AVERAGE(K27,L27)*Inputs!$B$36</f>
        <v>398.714222291452</v>
      </c>
    </row>
    <row r="28" customFormat="false" ht="15" hidden="false" customHeight="false" outlineLevel="0" collapsed="false">
      <c r="A28" s="18" t="n">
        <f aca="false">A12</f>
        <v>0.2</v>
      </c>
      <c r="B28" s="31" t="n">
        <f aca="false">'ARR Model'!$B$17</f>
        <v>255.1</v>
      </c>
      <c r="C28" s="32" t="n">
        <f aca="false">B28*(1-$A28+Assumptions!$C$6)+'ARR Model'!C$14</f>
        <v>250.8724</v>
      </c>
      <c r="D28" s="32" t="n">
        <f aca="false">C28*(1-$A28+Assumptions!$C$6)+'ARR Model'!D$14</f>
        <v>249.101626</v>
      </c>
      <c r="E28" s="32" t="n">
        <f aca="false">D28*(1-$A28+Assumptions!$C$6)+'ARR Model'!E$14</f>
        <v>249.463754606667</v>
      </c>
      <c r="F28" s="32" t="n">
        <f aca="false">E28*(1-$A28+Assumptions!$C$6)+'ARR Model'!F$14</f>
        <v>251.648111077011</v>
      </c>
      <c r="G28" s="32" t="n">
        <f aca="false">F28*(1-$A28+Assumptions!$C$6)+'ARR Model'!G$14</f>
        <v>255.354789605533</v>
      </c>
      <c r="H28" s="32" t="n">
        <f aca="false">G28*(1-$A28+Assumptions!$C$6)+'ARR Model'!H$14</f>
        <v>260.293053496933</v>
      </c>
      <c r="I28" s="32" t="n">
        <f aca="false">H28*(1-$A28+Assumptions!$C$6)+'ARR Model'!I$14</f>
        <v>266.180562062608</v>
      </c>
      <c r="J28" s="32" t="n">
        <f aca="false">I28*(1-$A28+Assumptions!$C$6)+'ARR Model'!J$14</f>
        <v>272.743358058189</v>
      </c>
      <c r="K28" s="32" t="n">
        <f aca="false">J28*(1-$A28+Assumptions!$C$6)+'ARR Model'!K$14</f>
        <v>279.716535174751</v>
      </c>
      <c r="L28" s="32" t="n">
        <f aca="false">K28*(1-$A28+Assumptions!$C$6)+'ARR Model'!L$14</f>
        <v>286.845490539415</v>
      </c>
      <c r="M28" s="32" t="n">
        <f aca="false">AVERAGE(B28,C28)*Inputs!$B$36</f>
        <v>268.587274820733</v>
      </c>
      <c r="N28" s="32" t="n">
        <f aca="false">AVERAGE(C28,D28)*Inputs!$B$36</f>
        <v>265.403134883426</v>
      </c>
      <c r="O28" s="32" t="n">
        <f aca="false">AVERAGE(D28,E28)*Inputs!$B$36</f>
        <v>264.655378232303</v>
      </c>
      <c r="P28" s="32" t="n">
        <f aca="false">AVERAGE(E28,F28)*Inputs!$B$36</f>
        <v>266.007138698301</v>
      </c>
      <c r="Q28" s="32" t="n">
        <f aca="false">AVERAGE(F28,G28)*Inputs!$B$36</f>
        <v>269.134299460863</v>
      </c>
      <c r="R28" s="32" t="n">
        <f aca="false">AVERAGE(G28,H28)*Inputs!$B$36</f>
        <v>273.723327489959</v>
      </c>
      <c r="S28" s="32" t="n">
        <f aca="false">AVERAGE(H28,I28)*Inputs!$B$36</f>
        <v>279.47001391411</v>
      </c>
      <c r="T28" s="32" t="n">
        <f aca="false">AVERAGE(I28,J28)*Inputs!$B$36</f>
        <v>286.0790569623</v>
      </c>
      <c r="U28" s="32" t="n">
        <f aca="false">AVERAGE(J28,K28)*Inputs!$B$36</f>
        <v>293.264409622321</v>
      </c>
      <c r="V28" s="32" t="n">
        <f aca="false">AVERAGE(K28,L28)*Inputs!$B$36</f>
        <v>300.750298837411</v>
      </c>
    </row>
    <row r="29" customFormat="false" ht="15" hidden="false" customHeight="false" outlineLevel="0" collapsed="false">
      <c r="A29" s="18" t="n">
        <f aca="false">A13</f>
        <v>0.25</v>
      </c>
      <c r="B29" s="31" t="n">
        <f aca="false">'ARR Model'!$B$17</f>
        <v>255.1</v>
      </c>
      <c r="C29" s="32" t="n">
        <f aca="false">B29*(1-$A29+Assumptions!$C$6)+'ARR Model'!C$14</f>
        <v>238.1174</v>
      </c>
      <c r="D29" s="32" t="n">
        <f aca="false">C29*(1-$A29+Assumptions!$C$6)+'ARR Model'!D$14</f>
        <v>225.971356</v>
      </c>
      <c r="E29" s="32" t="n">
        <f aca="false">D29*(1-$A29+Assumptions!$C$6)+'ARR Model'!E$14</f>
        <v>217.810549206667</v>
      </c>
      <c r="F29" s="32" t="n">
        <f aca="false">E29*(1-$A29+Assumptions!$C$6)+'ARR Model'!F$14</f>
        <v>212.902762864678</v>
      </c>
      <c r="G29" s="32" t="n">
        <f aca="false">F29*(1-$A29+Assumptions!$C$6)+'ARR Model'!G$14</f>
        <v>210.613745035446</v>
      </c>
      <c r="H29" s="32" t="n">
        <f aca="false">G29*(1-$A29+Assumptions!$C$6)+'ARR Model'!H$14</f>
        <v>210.390247023484</v>
      </c>
      <c r="I29" s="32" t="n">
        <f aca="false">H29*(1-$A29+Assumptions!$C$6)+'ARR Model'!I$14</f>
        <v>211.746580014799</v>
      </c>
      <c r="J29" s="32" t="n">
        <f aca="false">I29*(1-$A29+Assumptions!$C$6)+'ARR Model'!J$14</f>
        <v>214.254124855376</v>
      </c>
      <c r="K29" s="32" t="n">
        <f aca="false">J29*(1-$A29+Assumptions!$C$6)+'ARR Model'!K$14</f>
        <v>217.533303713508</v>
      </c>
      <c r="L29" s="32" t="n">
        <f aca="false">K29*(1-$A29+Assumptions!$C$6)+'ARR Model'!L$14</f>
        <v>221.247581667845</v>
      </c>
      <c r="M29" s="32" t="n">
        <f aca="false">AVERAGE(B29,C29)*Inputs!$B$36</f>
        <v>261.816489121082</v>
      </c>
      <c r="N29" s="32" t="n">
        <f aca="false">AVERAGE(C29,D29)*Inputs!$B$36</f>
        <v>246.354019011678</v>
      </c>
      <c r="O29" s="32" t="n">
        <f aca="false">AVERAGE(D29,E29)*Inputs!$B$36</f>
        <v>235.574455314582</v>
      </c>
      <c r="P29" s="32" t="n">
        <f aca="false">AVERAGE(E29,F29)*Inputs!$B$36</f>
        <v>228.637203764977</v>
      </c>
      <c r="Q29" s="32" t="n">
        <f aca="false">AVERAGE(F29,G29)*Inputs!$B$36</f>
        <v>224.816896531289</v>
      </c>
      <c r="R29" s="32" t="n">
        <f aca="false">AVERAGE(G29,H29)*Inputs!$B$36</f>
        <v>223.48316808537</v>
      </c>
      <c r="S29" s="32" t="n">
        <f aca="false">AVERAGE(H29,I29)*Inputs!$B$36</f>
        <v>224.084515233803</v>
      </c>
      <c r="T29" s="32" t="n">
        <f aca="false">AVERAGE(I29,J29)*Inputs!$B$36</f>
        <v>226.135592361939</v>
      </c>
      <c r="U29" s="32" t="n">
        <f aca="false">AVERAGE(J29,K29)*Inputs!$B$36</f>
        <v>229.207381155906</v>
      </c>
      <c r="V29" s="32" t="n">
        <f aca="false">AVERAGE(K29,L29)*Inputs!$B$36</f>
        <v>232.919744729171</v>
      </c>
    </row>
    <row r="30" customFormat="false" ht="15" hidden="false" customHeight="false" outlineLevel="0" collapsed="false">
      <c r="A30" s="18" t="n">
        <f aca="false">A14</f>
        <v>0.3</v>
      </c>
      <c r="B30" s="31" t="n">
        <f aca="false">'ARR Model'!$B$17</f>
        <v>255.1</v>
      </c>
      <c r="C30" s="32" t="n">
        <f aca="false">B30*(1-$A30+Assumptions!$C$6)+'ARR Model'!C$14</f>
        <v>225.3624</v>
      </c>
      <c r="D30" s="32" t="n">
        <f aca="false">C30*(1-$A30+Assumptions!$C$6)+'ARR Model'!D$14</f>
        <v>204.116586</v>
      </c>
      <c r="E30" s="32" t="n">
        <f aca="false">D30*(1-$A30+Assumptions!$C$6)+'ARR Model'!E$14</f>
        <v>189.465260806667</v>
      </c>
      <c r="F30" s="32" t="n">
        <f aca="false">E30*(1-$A30+Assumptions!$C$6)+'ARR Model'!F$14</f>
        <v>179.902910452344</v>
      </c>
      <c r="G30" s="32" t="n">
        <f aca="false">F30*(1-$A30+Assumptions!$C$6)+'ARR Model'!G$14</f>
        <v>174.228722010592</v>
      </c>
      <c r="H30" s="32" t="n">
        <f aca="false">G30*(1-$A30+Assumptions!$C$6)+'ARR Model'!H$14</f>
        <v>171.479241812326</v>
      </c>
      <c r="I30" s="32" t="n">
        <f aca="false">H30*(1-$A30+Assumptions!$C$6)+'ARR Model'!I$14</f>
        <v>170.876483598921</v>
      </c>
      <c r="J30" s="32" t="n">
        <f aca="false">I30*(1-$A30+Assumptions!$C$6)+'ARR Model'!J$14</f>
        <v>171.788120650252</v>
      </c>
      <c r="K30" s="32" t="n">
        <f aca="false">J30*(1-$A30+Assumptions!$C$6)+'ARR Model'!K$14</f>
        <v>173.697114190742</v>
      </c>
      <c r="L30" s="32" t="n">
        <f aca="false">K30*(1-$A30+Assumptions!$C$6)+'ARR Model'!L$14</f>
        <v>176.178688654412</v>
      </c>
      <c r="M30" s="32" t="n">
        <f aca="false">AVERAGE(B30,C30)*Inputs!$B$36</f>
        <v>255.04570342143</v>
      </c>
      <c r="N30" s="32" t="n">
        <f aca="false">AVERAGE(C30,D30)*Inputs!$B$36</f>
        <v>227.981981709895</v>
      </c>
      <c r="O30" s="32" t="n">
        <f aca="false">AVERAGE(D30,E30)*Inputs!$B$36</f>
        <v>208.926565268607</v>
      </c>
      <c r="P30" s="32" t="n">
        <f aca="false">AVERAGE(E30,F30)*Inputs!$B$36</f>
        <v>196.073126763388</v>
      </c>
      <c r="Q30" s="32" t="n">
        <f aca="false">AVERAGE(F30,G30)*Inputs!$B$36</f>
        <v>187.985056281801</v>
      </c>
      <c r="R30" s="32" t="n">
        <f aca="false">AVERAGE(G30,H30)*Inputs!$B$36</f>
        <v>183.513487864204</v>
      </c>
      <c r="S30" s="32" t="n">
        <f aca="false">AVERAGE(H30,I30)*Inputs!$B$36</f>
        <v>181.734006257025</v>
      </c>
      <c r="T30" s="32" t="n">
        <f aca="false">AVERAGE(I30,J30)*Inputs!$B$36</f>
        <v>181.897969598362</v>
      </c>
      <c r="U30" s="32" t="n">
        <f aca="false">AVERAGE(J30,K30)*Inputs!$B$36</f>
        <v>183.39525578222</v>
      </c>
      <c r="V30" s="32" t="n">
        <f aca="false">AVERAGE(K30,L30)*Inputs!$B$36</f>
        <v>185.7259178799</v>
      </c>
    </row>
  </sheetData>
  <conditionalFormatting sqref="B6:F14">
    <cfRule type="cellIs" priority="2" operator="greaterThanOrEqual" aboveAverage="0" equalAverage="0" bottom="0" percent="0" rank="0" text="" dxfId="0">
      <formula>$B$3</formula>
    </cfRule>
    <cfRule type="cellIs" priority="3" operator="lessThan" aboveAverage="0" equalAverage="0" bottom="0" percent="0" rank="0" text="" dxfId="1">
      <formula>$B$3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5" t="s">
        <v>233</v>
      </c>
    </row>
    <row r="2" customFormat="false" ht="15" hidden="false" customHeight="false" outlineLevel="0" collapsed="false">
      <c r="A2" s="6" t="s">
        <v>234</v>
      </c>
    </row>
    <row r="4" customFormat="false" ht="15" hidden="false" customHeight="false" outlineLevel="0" collapsed="false">
      <c r="A4" s="7" t="s">
        <v>235</v>
      </c>
      <c r="B4" s="8" t="s">
        <v>236</v>
      </c>
      <c r="C4" s="8" t="s">
        <v>130</v>
      </c>
      <c r="D4" s="8" t="s">
        <v>206</v>
      </c>
      <c r="E4" s="8" t="s">
        <v>237</v>
      </c>
      <c r="F4" s="8" t="s">
        <v>238</v>
      </c>
      <c r="G4" s="8" t="s">
        <v>239</v>
      </c>
      <c r="H4" s="8" t="s">
        <v>240</v>
      </c>
      <c r="I4" s="8" t="s">
        <v>241</v>
      </c>
    </row>
    <row r="5" customFormat="false" ht="15" hidden="false" customHeight="false" outlineLevel="0" collapsed="false">
      <c r="A5" s="54" t="s">
        <v>242</v>
      </c>
      <c r="B5" s="54" t="s">
        <v>243</v>
      </c>
      <c r="C5" s="22" t="n">
        <f aca="false">Inputs!B5</f>
        <v>33.22</v>
      </c>
      <c r="D5" s="47" t="n">
        <f aca="false">Inputs!B7</f>
        <v>1.41</v>
      </c>
      <c r="E5" s="40" t="n">
        <f aca="false">Inputs!B32</f>
        <v>255.1</v>
      </c>
      <c r="F5" s="34" t="n">
        <f aca="false">Inputs!B13</f>
        <v>0.99</v>
      </c>
      <c r="G5" s="34" t="n">
        <f aca="false">'Reverse DCF'!H5</f>
        <v>0.24513208835438</v>
      </c>
      <c r="H5" s="34" t="n">
        <f aca="false">'Reverse DCF'!H8</f>
        <v>0.83486791164562</v>
      </c>
      <c r="I5" s="6" t="s">
        <v>244</v>
      </c>
    </row>
    <row r="6" customFormat="false" ht="15" hidden="false" customHeight="false" outlineLevel="0" collapsed="false">
      <c r="A6" s="54" t="s">
        <v>245</v>
      </c>
      <c r="B6" s="54" t="s">
        <v>246</v>
      </c>
      <c r="I6" s="6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2026-09-29T17:58:59Z</dcterms:created>
  <dc:creator>openpyxl</dc:creator>
  <dc:description/>
  <dc:language>en-US</dc:language>
  <cp:lastModifiedBy/>
  <dcterms:modified xsi:type="dcterms:W3CDTF">2026-09-29T17:58:59Z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