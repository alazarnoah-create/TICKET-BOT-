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Reverse DCF" sheetId="3" state="visible" r:id="rId5"/>
    <sheet name="Assumptions" sheetId="4" state="visible" r:id="rId6"/>
    <sheet name="ARR Model" sheetId="5" state="visible" r:id="rId7"/>
    <sheet name="DCF" sheetId="6" state="visible" r:id="rId8"/>
    <sheet name="Sensitivity" sheetId="7" state="visible" r:id="rId9"/>
    <sheet name="Red Flags" sheetId="8" state="visible" r:id="rId10"/>
    <sheet name="Sources" sheetId="9" state="visible" r:id="rId11"/>
    <sheet name="Track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TSX close 17-Sep-2026 (Investing.com / TMX Money). Update on each run.</t>
        </r>
      </text>
    </comment>
    <comment ref="B6" authorId="0">
      <text>
        <r>
          <rPr>
            <sz val="10"/>
            <rFont val="Arial"/>
            <family val="2"/>
          </rPr>
          <t xml:space="preserve">Mid-market rate 17-Sep-2026 (MTFX). Verify on Bank of Canada daily rates.</t>
        </r>
      </text>
    </comment>
    <comment ref="B7" authorId="0">
      <text>
        <r>
          <rPr>
            <sz val="10"/>
            <rFont val="Arial"/>
            <family val="2"/>
          </rPr>
          <t xml:space="preserve">SIB final results, 11-Sep-2026: Intercap owns 15,900,000 shares</t>
        </r>
      </text>
    </comment>
    <comment ref="B8" authorId="0">
      <text>
        <r>
          <rPr>
            <sz val="10"/>
            <rFont val="Arial"/>
            <family val="2"/>
          </rPr>
          <t xml:space="preserve">SIB final results, 11-Sep-2026: approx. 63.7% of shares outstanding</t>
        </r>
      </text>
    </comment>
    <comment ref="B11" authorId="0">
      <text>
        <r>
          <rPr>
            <sz val="10"/>
            <rFont val="Arial"/>
            <family val="2"/>
          </rPr>
          <t xml:space="preserve">Docebo release 17-Jul-2026 (SIB + preliminary Q2-2026 results)</t>
        </r>
      </text>
    </comment>
    <comment ref="B12" authorId="0">
      <text>
        <r>
          <rPr>
            <sz val="10"/>
            <rFont val="Arial"/>
            <family val="2"/>
          </rPr>
          <t xml:space="preserve">SIB final results, 11-Sep-2026: 99,332 shares x US$25.00 = US$2,483,300</t>
        </r>
      </text>
    </comment>
    <comment ref="B14" authorId="0">
      <text>
        <r>
          <rPr>
            <sz val="10"/>
            <rFont val="Arial"/>
            <family val="2"/>
          </rPr>
          <t xml:space="preserve">Docebo release 17-Jul-2026</t>
        </r>
      </text>
    </comment>
    <comment ref="B16" authorId="0">
      <text>
        <r>
          <rPr>
            <sz val="10"/>
            <rFont val="Arial"/>
            <family val="2"/>
          </rPr>
          <t xml:space="preserve">Docebo Q2-2026 press release, 7 Aug 2026 (sec.gov 6-K docebo2026q2pr): 79.4%</t>
        </r>
      </text>
    </comment>
    <comment ref="B17" authorId="0">
      <text>
        <r>
          <rPr>
            <sz val="10"/>
            <rFont val="Arial"/>
            <family val="2"/>
          </rPr>
          <t xml:space="preserve">Q4-2025 earnings call: net dollar retention 99% (Globe and Mail coverage)</t>
        </r>
      </text>
    </comment>
    <comment ref="B18" authorId="0">
      <text>
        <r>
          <rPr>
            <sz val="10"/>
            <rFont val="Arial"/>
            <family val="2"/>
          </rPr>
          <t xml:space="preserve">Q4-2025 earnings call: 101% excluding AWS</t>
        </r>
      </text>
    </comment>
    <comment ref="B19" authorId="0">
      <text>
        <r>
          <rPr>
            <sz val="10"/>
            <rFont val="Arial"/>
            <family val="2"/>
          </rPr>
          <t xml:space="preserve">Docebo long-term model: &gt;$80M adj. EBITDA by 2028 = 24% margin (Investing.com)</t>
        </r>
      </text>
    </comment>
    <comment ref="B20" authorId="0">
      <text>
        <r>
          <rPr>
            <sz val="10"/>
            <rFont val="Arial"/>
            <family val="2"/>
          </rPr>
          <t xml:space="preserve">29-Sep-2026 (Trading Economics). Used only for the CAPM cross-check.</t>
        </r>
      </text>
    </comment>
    <comment ref="B23" authorId="0">
      <text>
        <r>
          <rPr>
            <sz val="10"/>
            <rFont val="Arial"/>
            <family val="2"/>
          </rPr>
          <t xml:space="preserve">ARR (annual recurring revenue), Q3-24: 214.1
Source: Docebo Q3-2024 press release, 8 Nov 2024 (sec.gov 6-K docebo2024q3pr)</t>
        </r>
      </text>
    </comment>
    <comment ref="B24" authorId="0">
      <text>
        <r>
          <rPr>
            <sz val="10"/>
            <rFont val="Arial"/>
            <family val="2"/>
          </rPr>
          <t xml:space="preserve">Total revenue, Q3-24: 55.4
Source: Docebo Q3-2024 press release, 8 Nov 2024 (sec.gov 6-K docebo2024q3pr)</t>
        </r>
      </text>
    </comment>
    <comment ref="B25" authorId="0">
      <text>
        <r>
          <rPr>
            <sz val="10"/>
            <rFont val="Arial"/>
            <family val="2"/>
          </rPr>
          <t xml:space="preserve">Adjusted EBITDA, Q3-24: 8.7
Source: Docebo Q3-2025 press release, 7 Nov 2025 (sec.gov 6-K docebo2025q3pr) (prior-year comparison)</t>
        </r>
      </text>
    </comment>
    <comment ref="B26" authorId="0">
      <text>
        <r>
          <rPr>
            <sz val="10"/>
            <rFont val="Arial"/>
            <family val="2"/>
          </rPr>
          <t xml:space="preserve">Free cash flow (company definition), Q3-24: 4.5
Source: Docebo Q3-2025 press release, 7 Nov 2025 (sec.gov 6-K docebo2025q3pr) (prior-year comparison)</t>
        </r>
      </text>
    </comment>
    <comment ref="C23" authorId="0">
      <text>
        <r>
          <rPr>
            <sz val="10"/>
            <rFont val="Arial"/>
            <family val="2"/>
          </rPr>
          <t xml:space="preserve">ARR (annual recurring revenue), Q4-24: 219.7
Source: Docebo Q4/FY2024 press release, 28 Feb 2025 (sec.gov 6-K docebo2024q4pr)</t>
        </r>
      </text>
    </comment>
    <comment ref="C24" authorId="0">
      <text>
        <r>
          <rPr>
            <sz val="10"/>
            <rFont val="Arial"/>
            <family val="2"/>
          </rPr>
          <t xml:space="preserve">Total revenue, Q4-24: 57.0
Source: Docebo Q4/FY2024 press release, 28 Feb 2025 (sec.gov 6-K docebo2024q4pr)</t>
        </r>
      </text>
    </comment>
    <comment ref="C25" authorId="0">
      <text>
        <r>
          <rPr>
            <sz val="10"/>
            <rFont val="Arial"/>
            <family val="2"/>
          </rPr>
          <t xml:space="preserve">Adjusted EBITDA, Q4-24: 9.5
Source: Docebo Q4/FY2025 press release, 27 Feb 2026 (sec.gov 6-K docebo2025q4pr) (prior-year comparison)</t>
        </r>
      </text>
    </comment>
    <comment ref="C26" authorId="0">
      <text>
        <r>
          <rPr>
            <sz val="10"/>
            <rFont val="Arial"/>
            <family val="2"/>
          </rPr>
          <t xml:space="preserve">Free cash flow (company definition), Q4-24: 10.1
Source: Docebo Q4/FY2025 press release, 27 Feb 2026 (sec.gov 6-K docebo2025q4pr) (prior-year comparison)</t>
        </r>
      </text>
    </comment>
    <comment ref="D23" authorId="0">
      <text>
        <r>
          <rPr>
            <sz val="10"/>
            <rFont val="Arial"/>
            <family val="2"/>
          </rPr>
          <t xml:space="preserve">ARR (annual recurring revenue), Q1-25: 225.1
Source: Docebo Q1-2025 press release, 9 May 2025 (sec.gov 6-K docebo2025q1pr)</t>
        </r>
      </text>
    </comment>
    <comment ref="D24" authorId="0">
      <text>
        <r>
          <rPr>
            <sz val="10"/>
            <rFont val="Arial"/>
            <family val="2"/>
          </rPr>
          <t xml:space="preserve">Total revenue, Q1-25: 57.3
Source: Docebo Q1-2025 press release, 9 May 2025 (sec.gov 6-K docebo2025q1pr)</t>
        </r>
      </text>
    </comment>
    <comment ref="D25" authorId="0">
      <text>
        <r>
          <rPr>
            <sz val="10"/>
            <rFont val="Arial"/>
            <family val="2"/>
          </rPr>
          <t xml:space="preserve">Adjusted EBITDA, Q1-25: 8.9
Source: Docebo Q1-2025 press release, 9 May 2025 (sec.gov 6-K docebo2025q1pr)</t>
        </r>
      </text>
    </comment>
    <comment ref="D26" authorId="0">
      <text>
        <r>
          <rPr>
            <sz val="10"/>
            <rFont val="Arial"/>
            <family val="2"/>
          </rPr>
          <t xml:space="preserve">Free cash flow (company definition), Q1-25: 9.0
Source: Docebo Q1-2025 press release, 9 May 2025 (sec.gov 6-K docebo2025q1pr)</t>
        </r>
      </text>
    </comment>
    <comment ref="E23" authorId="0">
      <text>
        <r>
          <rPr>
            <sz val="10"/>
            <rFont val="Arial"/>
            <family val="2"/>
          </rPr>
          <t xml:space="preserve">ARR (annual recurring revenue), Q2-25: 233.1
Source: Docebo Q2-2025 press release, 8 Aug 2025 (sec.gov 6-K docebo2025q2pr)</t>
        </r>
      </text>
    </comment>
    <comment ref="E24" authorId="0">
      <text>
        <r>
          <rPr>
            <sz val="10"/>
            <rFont val="Arial"/>
            <family val="2"/>
          </rPr>
          <t xml:space="preserve">Total revenue, Q2-25: 60.7
Source: Docebo Q2-2025 press release, 8 Aug 2025 (sec.gov 6-K docebo2025q2pr)</t>
        </r>
      </text>
    </comment>
    <comment ref="E25" authorId="0">
      <text>
        <r>
          <rPr>
            <sz val="10"/>
            <rFont val="Arial"/>
            <family val="2"/>
          </rPr>
          <t xml:space="preserve">Adjusted EBITDA, Q2-25: 9.2
Source: Docebo Q2-2025 press release, 8 Aug 2025 (sec.gov 6-K docebo2025q2pr)</t>
        </r>
      </text>
    </comment>
    <comment ref="E26" authorId="0">
      <text>
        <r>
          <rPr>
            <sz val="10"/>
            <rFont val="Arial"/>
            <family val="2"/>
          </rPr>
          <t xml:space="preserve">Free cash flow (company definition), Q2-25: 11.4
Source: Docebo Q2-2025 press release, 8 Aug 2025 (sec.gov 6-K docebo2025q2pr)</t>
        </r>
      </text>
    </comment>
    <comment ref="F23" authorId="0">
      <text>
        <r>
          <rPr>
            <sz val="10"/>
            <rFont val="Arial"/>
            <family val="2"/>
          </rPr>
          <t xml:space="preserve">ARR (annual recurring revenue), Q3-25: 235.6
Source: Docebo Q3-2025 press release, 7 Nov 2025 (sec.gov 6-K docebo2025q3pr)</t>
        </r>
      </text>
    </comment>
    <comment ref="F24" authorId="0">
      <text>
        <r>
          <rPr>
            <sz val="10"/>
            <rFont val="Arial"/>
            <family val="2"/>
          </rPr>
          <t xml:space="preserve">Total revenue, Q3-25: 61.6
Source: Docebo Q3-2025 press release, 7 Nov 2025 (sec.gov 6-K docebo2025q3pr)</t>
        </r>
      </text>
    </comment>
    <comment ref="F25" authorId="0">
      <text>
        <r>
          <rPr>
            <sz val="10"/>
            <rFont val="Arial"/>
            <family val="2"/>
          </rPr>
          <t xml:space="preserve">Adjusted EBITDA, Q3-25: 12.4
Source: Docebo Q3-2025 press release, 7 Nov 2025 (sec.gov 6-K docebo2025q3pr)</t>
        </r>
      </text>
    </comment>
    <comment ref="F26" authorId="0">
      <text>
        <r>
          <rPr>
            <sz val="10"/>
            <rFont val="Arial"/>
            <family val="2"/>
          </rPr>
          <t xml:space="preserve">Free cash flow (company definition), Q3-25: 5.7
Source: Docebo Q3-2025 press release, 7 Nov 2025 (sec.gov 6-K docebo2025q3pr)</t>
        </r>
      </text>
    </comment>
    <comment ref="G23" authorId="0">
      <text>
        <r>
          <rPr>
            <sz val="10"/>
            <rFont val="Arial"/>
            <family val="2"/>
          </rPr>
          <t xml:space="preserve">ARR (annual recurring revenue), Q4-25: 238.1
Source: Docebo Q4/FY2025 press release, 27 Feb 2026 (sec.gov 6-K docebo2025q4pr)</t>
        </r>
      </text>
    </comment>
    <comment ref="G24" authorId="0">
      <text>
        <r>
          <rPr>
            <sz val="10"/>
            <rFont val="Arial"/>
            <family val="2"/>
          </rPr>
          <t xml:space="preserve">Total revenue, Q4-25: 63.0
Source: Docebo Q4/FY2025 press release, 27 Feb 2026 (sec.gov 6-K docebo2025q4pr)</t>
        </r>
      </text>
    </comment>
    <comment ref="G25" authorId="0">
      <text>
        <r>
          <rPr>
            <sz val="10"/>
            <rFont val="Arial"/>
            <family val="2"/>
          </rPr>
          <t xml:space="preserve">Adjusted EBITDA, Q4-25: 13.3
Source: Docebo Q4/FY2025 press release, 27 Feb 2026 (sec.gov 6-K docebo2025q4pr)</t>
        </r>
      </text>
    </comment>
    <comment ref="G26" authorId="0">
      <text>
        <r>
          <rPr>
            <sz val="10"/>
            <rFont val="Arial"/>
            <family val="2"/>
          </rPr>
          <t xml:space="preserve">Free cash flow (company definition), Q4-25: 12.3
Source: Docebo Q4/FY2025 press release, 27 Feb 2026 (sec.gov 6-K docebo2025q4pr)</t>
        </r>
      </text>
    </comment>
    <comment ref="H23" authorId="0">
      <text>
        <r>
          <rPr>
            <sz val="10"/>
            <rFont val="Arial"/>
            <family val="2"/>
          </rPr>
          <t xml:space="preserve">ARR (annual recurring revenue), Q1-26: 248.9
Source: Docebo Q1-2026 press release, 8 May 2026 (sec.gov 6-K docebo2026q1pr)</t>
        </r>
      </text>
    </comment>
    <comment ref="H24" authorId="0">
      <text>
        <r>
          <rPr>
            <sz val="10"/>
            <rFont val="Arial"/>
            <family val="2"/>
          </rPr>
          <t xml:space="preserve">Total revenue, Q1-26: 65.6
Source: Docebo Q1-2026 press release, 8 May 2026 (sec.gov 6-K docebo2026q1pr)</t>
        </r>
      </text>
    </comment>
    <comment ref="H25" authorId="0">
      <text>
        <r>
          <rPr>
            <sz val="10"/>
            <rFont val="Arial"/>
            <family val="2"/>
          </rPr>
          <t xml:space="preserve">Adjusted EBITDA, Q1-26: 11.0
Source: Docebo Q1-2026 press release, 8 May 2026 (sec.gov 6-K docebo2026q1pr)</t>
        </r>
      </text>
    </comment>
    <comment ref="H26" authorId="0">
      <text>
        <r>
          <rPr>
            <sz val="10"/>
            <rFont val="Arial"/>
            <family val="2"/>
          </rPr>
          <t xml:space="preserve">Free cash flow (company definition), Q1-26: 27.6
Source: Docebo Q1-2026 press release, 8 May 2026 (sec.gov 6-K docebo2026q1pr)</t>
        </r>
      </text>
    </comment>
    <comment ref="I23" authorId="0">
      <text>
        <r>
          <rPr>
            <sz val="10"/>
            <rFont val="Arial"/>
            <family val="2"/>
          </rPr>
          <t xml:space="preserve">ARR (annual recurring revenue), Q2-26: 255.1
Source: Docebo Q2-2026 press release, 7 Aug 2026 (sec.gov 6-K docebo2026q2pr)</t>
        </r>
      </text>
    </comment>
    <comment ref="I24" authorId="0">
      <text>
        <r>
          <rPr>
            <sz val="10"/>
            <rFont val="Arial"/>
            <family val="2"/>
          </rPr>
          <t xml:space="preserve">Total revenue, Q2-26: 68.7
Source: Docebo Q2-2026 press release, 7 Aug 2026 (sec.gov 6-K docebo2026q2pr)</t>
        </r>
      </text>
    </comment>
    <comment ref="I25" authorId="0">
      <text>
        <r>
          <rPr>
            <sz val="10"/>
            <rFont val="Arial"/>
            <family val="2"/>
          </rPr>
          <t xml:space="preserve">Adjusted EBITDA, Q2-26: 11.2
Source: Docebo Q2-2026 press release, 7 Aug 2026 (sec.gov 6-K docebo2026q2pr)</t>
        </r>
      </text>
    </comment>
    <comment ref="I26" authorId="0">
      <text>
        <r>
          <rPr>
            <sz val="10"/>
            <rFont val="Arial"/>
            <family val="2"/>
          </rPr>
          <t xml:space="preserve">Free cash flow (company definition), Q2-26: 3.1
Source: Docebo Q2-2026 press release, 7 Aug 2026 (sec.gov 6-K docebo2026q2pr)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Column B = last-twelve-months actuals (Q3-25 to Q2-26).</t>
        </r>
      </text>
    </comment>
  </commentList>
</comments>
</file>

<file path=xl/sharedStrings.xml><?xml version="1.0" encoding="utf-8"?>
<sst xmlns="http://schemas.openxmlformats.org/spreadsheetml/2006/main" count="548" uniqueCount="413">
  <si>
    <t xml:space="preserve">What is Docebo's stock price secretly betting on?</t>
  </si>
  <si>
    <t xml:space="preserve">Noah Alazar Research  |  Reverse DCF of Docebo Inc. (TSX: DCBO)  |  Built on reported numbers only</t>
  </si>
  <si>
    <t xml:space="preserve">THE IDEA</t>
  </si>
  <si>
    <t xml:space="preserve">Normal model: assumptions -&gt; value.  Reverse model: today's price -&gt; the assumption the market must believe.</t>
  </si>
  <si>
    <t xml:space="preserve">The lever we solve for is NET REVENUE RETENTION (NRR): of every $100 existing customers paid last year, how much they pay this year.</t>
  </si>
  <si>
    <t xml:space="preserve">Docebo reports NRR of 99% (FY2025). We find the NRR that today's share price implies and compare the two.</t>
  </si>
  <si>
    <t xml:space="preserve">RULE FOR EVERY NUMBER</t>
  </si>
  <si>
    <t xml:space="preserve">Each input is labelled: REPORTED (from Docebo filings or market data), CALCULATED (formula on reported numbers), COMPANY TARGET, or CONVENTION.</t>
  </si>
  <si>
    <t xml:space="preserve">There are no analyst guesses. The 'Sources' tab lists every hard-coded number with the document it came from.</t>
  </si>
  <si>
    <t xml:space="preserve">HOW THE TABS FLOW</t>
  </si>
  <si>
    <t xml:space="preserve">1. Inputs       - 8 quarters of reported ARR, revenue, adjusted EBITDA and free cash flow + price, shares, cash, debt.</t>
  </si>
  <si>
    <t xml:space="preserve">2. Reverse DCF  - THE ANSWER: market-implied NRR vs. reported NRR (solved live, no macro).</t>
  </si>
  <si>
    <t xml:space="preserve">3. Assumptions  - the forecast levers, each tagged with its type and source.</t>
  </si>
  <si>
    <t xml:space="preserve">4. ARR Model    - 10 years: Starting ARR x NRR + new-customer ARR = Ending ARR -&gt; revenue -&gt; EBITDA -&gt; free cash flow.</t>
  </si>
  <si>
    <t xml:space="preserve">5. DCF          - discount each year's cash, add terminal value, add cash, subtract debt, divide by shares.</t>
  </si>
  <si>
    <t xml:space="preserve">6. Sensitivity  - share price for every NRR (down) x discount rate (across).</t>
  </si>
  <si>
    <t xml:space="preserve">7. Red Flags    - what looks sketchy about the company itself, each with a source.</t>
  </si>
  <si>
    <t xml:space="preserve">8. Sources      - every hard-coded number and where it came from.</t>
  </si>
  <si>
    <t xml:space="preserve">9. Tracker      - log each re-run (next: Q3-2026 results, early Nov 2026).</t>
  </si>
  <si>
    <t xml:space="preserve">COLOR CODE</t>
  </si>
  <si>
    <t xml:space="preserve">Blue = hard-coded input (sourced)  |  Black = formula  |  Green = link from another tab  |  Yellow = key lever  |  Light green = answer</t>
  </si>
  <si>
    <t xml:space="preserve">EXCEL SKILLS TO PRACTISE</t>
  </si>
  <si>
    <t xml:space="preserve">GOAL SEEK: Data -&gt; What-If Analysis -&gt; Goal Seek. Set cell DCF!C22, To value 33.22, By changing Assumptions!C5. Result should match Reverse DCF!H5.</t>
  </si>
  <si>
    <t xml:space="preserve">   Afterwards type 99% back into Assumptions!C5.</t>
  </si>
  <si>
    <t xml:space="preserve">DATA TABLE: put =DCF!C22 top-left, NRR values down the column, discount rates across the row, select the block, Data -&gt; What-If -&gt; Data Table.</t>
  </si>
  <si>
    <t xml:space="preserve">   Row input cell: Assumptions!C10. Column input cell: Assumptions!C5. Compare with the Sensitivity tab.</t>
  </si>
  <si>
    <t xml:space="preserve">LIMITS YOU MUST STATE</t>
  </si>
  <si>
    <t xml:space="preserve">- Figures were collected from Docebo releases via search results (the filing sites were blocked from the build environment). Links are on the Sources tab: open and tick them.</t>
  </si>
  <si>
    <t xml:space="preserve">- Any 10-year forecast needs assumptions. Here they are only: today's reported levels held flat, management's own 24%-by-2028 margin target, a 10% discount rate and 2.5% terminal growth.</t>
  </si>
  <si>
    <t xml:space="preserve">- New-customer ARR over the last 12 months includes ARR from the 365Talents acquisition (Jan 2026), which Docebo does not break out. Organic new ARR is therefore somewhat lower.</t>
  </si>
  <si>
    <t xml:space="preserve">- Adjusted EBITDA excludes stock-based pay, restructuring (severance) and acquisition costs. Free cash flow conversion uses FY2025 actual cash, which does include cash severance.</t>
  </si>
  <si>
    <t xml:space="preserve">Inputs - Docebo Inc. (TSX: DCBO) reported figures</t>
  </si>
  <si>
    <t xml:space="preserve">US$ millions unless stated. Blue = typed from a source (hover a cell for the exact document). Black = formula.</t>
  </si>
  <si>
    <t xml:space="preserve">Market &amp; balance sheet</t>
  </si>
  <si>
    <t xml:space="preserve">Value</t>
  </si>
  <si>
    <t xml:space="preserve">Unit</t>
  </si>
  <si>
    <t xml:space="preserve">Type</t>
  </si>
  <si>
    <t xml:space="preserve">Source</t>
  </si>
  <si>
    <t xml:space="preserve">Share price (TSX: DCBO)</t>
  </si>
  <si>
    <t xml:space="preserve">C$</t>
  </si>
  <si>
    <t xml:space="preserve">REPORTED</t>
  </si>
  <si>
    <t xml:space="preserve">TSX close 17-Sep-2026 (Investing.com / TMX Money). Update on each run.</t>
  </si>
  <si>
    <t xml:space="preserve">USD/CAD exchange rate (same day)</t>
  </si>
  <si>
    <t xml:space="preserve">C$ per US$</t>
  </si>
  <si>
    <t xml:space="preserve">Mid-market rate 17-Sep-2026 (MTFX). Verify on Bank of Canada daily rates.</t>
  </si>
  <si>
    <t xml:space="preserve">Shares held by Intercap</t>
  </si>
  <si>
    <t xml:space="preserve">millions</t>
  </si>
  <si>
    <t xml:space="preserve">SIB final results, 11-Sep-2026: Intercap owns 15,900,000 shares</t>
  </si>
  <si>
    <t xml:space="preserve">Intercap ownership</t>
  </si>
  <si>
    <t xml:space="preserve">%</t>
  </si>
  <si>
    <t xml:space="preserve">SIB final results, 11-Sep-2026: approx. 63.7% of shares outstanding</t>
  </si>
  <si>
    <t xml:space="preserve">Shares outstanding (after buyback)</t>
  </si>
  <si>
    <t xml:space="preserve">CALCULATED</t>
  </si>
  <si>
    <t xml:space="preserve">15.9M / 63.7%</t>
  </si>
  <si>
    <t xml:space="preserve">Market capitalization</t>
  </si>
  <si>
    <t xml:space="preserve">C$ m</t>
  </si>
  <si>
    <t xml:space="preserve">Price x shares</t>
  </si>
  <si>
    <t xml:space="preserve">Cash &amp; equivalents, 30-Jun-2026</t>
  </si>
  <si>
    <t xml:space="preserve">US$ m</t>
  </si>
  <si>
    <t xml:space="preserve">Docebo release 17-Jul-2026 (SIB + preliminary Q2-2026 results)</t>
  </si>
  <si>
    <t xml:space="preserve">Cash paid in the buyback (Sep-2026)</t>
  </si>
  <si>
    <t xml:space="preserve">SIB final results, 11-Sep-2026: 99,332 shares x US$25.00 = US$2,483,300</t>
  </si>
  <si>
    <t xml:space="preserve">Cash after buyback</t>
  </si>
  <si>
    <t xml:space="preserve">Matches the post-buyback share count</t>
  </si>
  <si>
    <t xml:space="preserve">Total borrowings, 30-Jun-2026</t>
  </si>
  <si>
    <t xml:space="preserve">Docebo release 17-Jul-2026</t>
  </si>
  <si>
    <t xml:space="preserve">Net debt</t>
  </si>
  <si>
    <t xml:space="preserve">Debt - cash</t>
  </si>
  <si>
    <t xml:space="preserve">Gross margin (Q2-2026)</t>
  </si>
  <si>
    <t xml:space="preserve">Docebo Q2-2026 press release, 7 Aug 2026 (sec.gov 6-K docebo2026q2pr): 79.4%</t>
  </si>
  <si>
    <t xml:space="preserve">Net revenue retention, FY2025</t>
  </si>
  <si>
    <t xml:space="preserve">Q4-2025 earnings call: net dollar retention 99% (Globe and Mail coverage)</t>
  </si>
  <si>
    <t xml:space="preserve">Net revenue retention ex-AWS, FY2025</t>
  </si>
  <si>
    <t xml:space="preserve">Q4-2025 earnings call: 101% excluding AWS</t>
  </si>
  <si>
    <t xml:space="preserve">Management target: adj. EBITDA margin by 2028</t>
  </si>
  <si>
    <t xml:space="preserve">COMPANY TARGET</t>
  </si>
  <si>
    <t xml:space="preserve">Docebo long-term model: &gt;$80M adj. EBITDA by 2028 = 24% margin (Investing.com)</t>
  </si>
  <si>
    <t xml:space="preserve">Canada 10-year bond yield</t>
  </si>
  <si>
    <t xml:space="preserve">29-Sep-2026 (Trading Economics). Used only for the CAPM cross-check.</t>
  </si>
  <si>
    <t xml:space="preserve">Quarterly history (US$ m)</t>
  </si>
  <si>
    <t xml:space="preserve">Q3-24</t>
  </si>
  <si>
    <t xml:space="preserve">Q4-24</t>
  </si>
  <si>
    <t xml:space="preserve">Q1-25</t>
  </si>
  <si>
    <t xml:space="preserve">Q2-25</t>
  </si>
  <si>
    <t xml:space="preserve">Q3-25</t>
  </si>
  <si>
    <t xml:space="preserve">Q4-25</t>
  </si>
  <si>
    <t xml:space="preserve">Q1-26</t>
  </si>
  <si>
    <t xml:space="preserve">Q2-26</t>
  </si>
  <si>
    <t xml:space="preserve">ARR (annual recurring revenue)</t>
  </si>
  <si>
    <t xml:space="preserve">Each quarter's own press release (hover any cell for the exact document)</t>
  </si>
  <si>
    <t xml:space="preserve">Total revenue</t>
  </si>
  <si>
    <t xml:space="preserve">Adjusted EBITDA</t>
  </si>
  <si>
    <t xml:space="preserve">Free cash flow (company definition)</t>
  </si>
  <si>
    <t xml:space="preserve">FCF margin (%)</t>
  </si>
  <si>
    <t xml:space="preserve">Adj. EBITDA margin (%)</t>
  </si>
  <si>
    <t xml:space="preserve">ARR growth vs. same quarter last year (%)</t>
  </si>
  <si>
    <t xml:space="preserve">Derived from the reported figures</t>
  </si>
  <si>
    <t xml:space="preserve">How</t>
  </si>
  <si>
    <t xml:space="preserve">LTM revenue (Q3-25 to Q2-26)</t>
  </si>
  <si>
    <t xml:space="preserve">Sum of last 4 quarters</t>
  </si>
  <si>
    <t xml:space="preserve">LTM adjusted EBITDA</t>
  </si>
  <si>
    <t xml:space="preserve">LTM free cash flow</t>
  </si>
  <si>
    <t xml:space="preserve">LTM adj. EBITDA margin</t>
  </si>
  <si>
    <t xml:space="preserve">Starting margin in the forecast</t>
  </si>
  <si>
    <t xml:space="preserve">LTM FCF margin</t>
  </si>
  <si>
    <t xml:space="preserve">Flattered by customer prepayments in Q1-26 (42% FCF margin)</t>
  </si>
  <si>
    <t xml:space="preserve">FY2025 adjusted EBITDA (Q1-25 to Q4-25)</t>
  </si>
  <si>
    <t xml:space="preserve">FY2025 free cash flow</t>
  </si>
  <si>
    <t xml:space="preserve">Matches the US$38.4M Docebo reported for FY2025</t>
  </si>
  <si>
    <t xml:space="preserve">FY2025 FCF conversion (FCF / adj. EBITDA)</t>
  </si>
  <si>
    <t xml:space="preserve">A full calendar year, so prepayment timing evens out</t>
  </si>
  <si>
    <t xml:space="preserve">ARR now (30-Jun-2026)</t>
  </si>
  <si>
    <t xml:space="preserve">Forecast starting point</t>
  </si>
  <si>
    <t xml:space="preserve">ARR one year ago (30-Jun-2025)</t>
  </si>
  <si>
    <t xml:space="preserve">Net new ARR, last 12 months</t>
  </si>
  <si>
    <t xml:space="preserve">Ending - starting</t>
  </si>
  <si>
    <t xml:space="preserve">New-customer ARR, last 12 months</t>
  </si>
  <si>
    <t xml:space="preserve">Net new ARR + ARR lost at reported NRR. Includes acquired 365Talents ARR (not broken out by Docebo)</t>
  </si>
  <si>
    <t xml:space="preserve">Revenue per $1 of average ARR</t>
  </si>
  <si>
    <t xml:space="preserve">Revenue includes some services on top of ARR</t>
  </si>
  <si>
    <t xml:space="preserve">Enterprise value the market pays (US$ m)</t>
  </si>
  <si>
    <t xml:space="preserve">Market cap in US$ + net debt</t>
  </si>
  <si>
    <t xml:space="preserve">EV / ARR</t>
  </si>
  <si>
    <t xml:space="preserve">EV / LTM free cash flow</t>
  </si>
  <si>
    <t xml:space="preserve">Reverse DCF - the retention rate today's price is betting on</t>
  </si>
  <si>
    <t xml:space="preserve">Solved live: the price is computed for NRR from 120% down to 50% below, then interpolated at the market price.</t>
  </si>
  <si>
    <t xml:space="preserve">Market price today (C$)</t>
  </si>
  <si>
    <t xml:space="preserve">MARKET-IMPLIED NET REVENUE RETENTION</t>
  </si>
  <si>
    <t xml:space="preserve">Reported net revenue retention (FY2025)</t>
  </si>
  <si>
    <t xml:space="preserve">Gap: reported minus implied (percentage points)</t>
  </si>
  <si>
    <t xml:space="preserve">Implied net ARR lost from existing customers per year</t>
  </si>
  <si>
    <t xml:space="preserve">Reported net ARR lost per year</t>
  </si>
  <si>
    <t xml:space="preserve">Model price at reported NRR (C$)</t>
  </si>
  <si>
    <t xml:space="preserve">Check: model price at implied NRR (C$) - should equal market</t>
  </si>
  <si>
    <t xml:space="preserve">Implied NRR BELOW reported = market pessimistic (stock may be cheap if the reported number holds). ABOVE = market optimistic.</t>
  </si>
  <si>
    <t xml:space="preserve">Cross-check with Goal Seek (see Start Here). Both answers should agree to about 0.1 percentage point.</t>
  </si>
  <si>
    <t xml:space="preserve">Engine: price for each NRR (same maths as ARR Model + DCF, one row per NRR)</t>
  </si>
  <si>
    <t xml:space="preserve">NRR</t>
  </si>
  <si>
    <t xml:space="preserve">ARR Y0</t>
  </si>
  <si>
    <t xml:space="preserve">ARR Y1</t>
  </si>
  <si>
    <t xml:space="preserve">ARR Y2</t>
  </si>
  <si>
    <t xml:space="preserve">ARR Y3</t>
  </si>
  <si>
    <t xml:space="preserve">ARR Y4</t>
  </si>
  <si>
    <t xml:space="preserve">ARR Y5</t>
  </si>
  <si>
    <t xml:space="preserve">ARR Y6</t>
  </si>
  <si>
    <t xml:space="preserve">ARR Y7</t>
  </si>
  <si>
    <t xml:space="preserve">ARR Y8</t>
  </si>
  <si>
    <t xml:space="preserve">ARR Y9</t>
  </si>
  <si>
    <t xml:space="preserve">ARR Y10</t>
  </si>
  <si>
    <t xml:space="preserve">EV (US$m)</t>
  </si>
  <si>
    <t xml:space="preserve">Price C$</t>
  </si>
  <si>
    <t xml:space="preserve">Checks</t>
  </si>
  <si>
    <t xml:space="preserve">&lt;- at reported NRR</t>
  </si>
  <si>
    <t xml:space="preserve">&lt;- at implied NRR</t>
  </si>
  <si>
    <t xml:space="preserve">&lt;- at Assumptions!C5 (must equal DCF!C18)</t>
  </si>
  <si>
    <t xml:space="preserve">Assumptions - forecast levers</t>
  </si>
  <si>
    <t xml:space="preserve">No analyst guesses: each lever is reported, calculated from reported numbers, a company target, or a stated convention.</t>
  </si>
  <si>
    <t xml:space="preserve">Lever</t>
  </si>
  <si>
    <t xml:space="preserve">Source / reason</t>
  </si>
  <si>
    <t xml:space="preserve">Net revenue retention used in the DCF</t>
  </si>
  <si>
    <t xml:space="preserve">Docebo FY2025 NRR = 99%. This is the cell Goal Seek changes (the reverse-DCF lever).</t>
  </si>
  <si>
    <t xml:space="preserve">New-customer ARR added per year (US$ m)</t>
  </si>
  <si>
    <t xml:space="preserve">Last-12-months level from reported ARR and NRR, held flat (no growth assumed).</t>
  </si>
  <si>
    <t xml:space="preserve">Adj. EBITDA margin, long-term</t>
  </si>
  <si>
    <t xml:space="preserve">Management's own model: &gt;$80M adj. EBITDA by 2028 = 24%. Held flat after that.</t>
  </si>
  <si>
    <t xml:space="preserve">Years to reach the target margin</t>
  </si>
  <si>
    <t xml:space="preserve">Target year 2028 is about 2 years after the Jun-2026 starting point. Straight-line from LTM margin.</t>
  </si>
  <si>
    <t xml:space="preserve">FCF conversion (FCF / adj. EBITDA)</t>
  </si>
  <si>
    <t xml:space="preserve">FY2025 actual (a full year, so Q1 prepayment timing evens out). Held flat.</t>
  </si>
  <si>
    <t xml:space="preserve">Discount rate (required return per year)</t>
  </si>
  <si>
    <t xml:space="preserve">CONVENTION</t>
  </si>
  <si>
    <t xml:space="preserve">Standard starting rate for the project. CAPM cross-check below. Sensitivity tab covers 8-12%.</t>
  </si>
  <si>
    <t xml:space="preserve">Terminal growth rate (after Year 10)</t>
  </si>
  <si>
    <t xml:space="preserve">About the Bank of Canada 2% inflation target plus modest real growth. Must stay below the discount rate.</t>
  </si>
  <si>
    <t xml:space="preserve">Gross margin (display only)</t>
  </si>
  <si>
    <t xml:space="preserve">Q2-2026</t>
  </si>
  <si>
    <t xml:space="preserve">Net ARR lost from existing customers per year = 1 - NRR</t>
  </si>
  <si>
    <t xml:space="preserve">CAPM cross-check (not used in the model)</t>
  </si>
  <si>
    <t xml:space="preserve">Risk-free rate (Canada 10-year)</t>
  </si>
  <si>
    <t xml:space="preserve">Beta (sources disagree: 0.73 Yahoo 5y monthly, ~1.0 Google)</t>
  </si>
  <si>
    <t xml:space="preserve">REPORTED RANGE</t>
  </si>
  <si>
    <t xml:space="preserve">Equity risk premium</t>
  </si>
  <si>
    <t xml:space="preserve">CAPM cost of equity = risk-free + beta x premium</t>
  </si>
  <si>
    <t xml:space="preserve">About 9% - so the 10% used in the model is slightly conservative (a higher rate gives a lower value).</t>
  </si>
  <si>
    <t xml:space="preserve">ARR Model - 10-year forecast (US$ m)</t>
  </si>
  <si>
    <t xml:space="preserve">Year</t>
  </si>
  <si>
    <t xml:space="preserve">Period</t>
  </si>
  <si>
    <t xml:space="preserve">LTM Jun-26</t>
  </si>
  <si>
    <t xml:space="preserve">Drivers</t>
  </si>
  <si>
    <t xml:space="preserve">Progress to target margin (0% = today, 100% = target)</t>
  </si>
  <si>
    <t xml:space="preserve">Adj. EBITDA margin</t>
  </si>
  <si>
    <t xml:space="preserve">FCF margin (EBITDA margin x conversion)</t>
  </si>
  <si>
    <t xml:space="preserve">ARR bridge  (Starting ARR x NRR + new-customer ARR = Ending ARR)</t>
  </si>
  <si>
    <t xml:space="preserve">Starting ARR</t>
  </si>
  <si>
    <t xml:space="preserve">(+) New-customer ARR</t>
  </si>
  <si>
    <t xml:space="preserve">(+/-) Existing customers: Starting ARR x (NRR - 1)</t>
  </si>
  <si>
    <t xml:space="preserve">Ending ARR</t>
  </si>
  <si>
    <t xml:space="preserve">ARR growth (%)</t>
  </si>
  <si>
    <t xml:space="preserve">Revenue to free cash flow</t>
  </si>
  <si>
    <t xml:space="preserve">Revenue (average ARR x revenue per $ of ARR)</t>
  </si>
  <si>
    <t xml:space="preserve">Revenue growth (%)</t>
  </si>
  <si>
    <t xml:space="preserve">Gross profit</t>
  </si>
  <si>
    <t xml:space="preserve">(-) Operating expenses (S&amp;M, R&amp;D, G&amp;A)</t>
  </si>
  <si>
    <t xml:space="preserve">(-) Cash taxes, capex, working capital &amp; other</t>
  </si>
  <si>
    <t xml:space="preserve">Free cash flow</t>
  </si>
  <si>
    <t xml:space="preserve">DCF - what the future cash is worth today</t>
  </si>
  <si>
    <t xml:space="preserve">Free cash flow (US$ m)</t>
  </si>
  <si>
    <t xml:space="preserve">Discount factor = 1 / (1 + discount rate)^year</t>
  </si>
  <si>
    <t xml:space="preserve">Present value of FCF</t>
  </si>
  <si>
    <t xml:space="preserve">Sum of PV of FCF, Years 1-10</t>
  </si>
  <si>
    <t xml:space="preserve">Terminal value at Year 10</t>
  </si>
  <si>
    <t xml:space="preserve">FCF Year 11 / (discount rate - growth)</t>
  </si>
  <si>
    <t xml:space="preserve">PV of terminal value</t>
  </si>
  <si>
    <t xml:space="preserve">Enterprise value (US$ m)</t>
  </si>
  <si>
    <t xml:space="preserve">(+) Cash (after buyback)</t>
  </si>
  <si>
    <t xml:space="preserve">(-) Debt</t>
  </si>
  <si>
    <t xml:space="preserve">Equity value (US$ m)</t>
  </si>
  <si>
    <t xml:space="preserve">Shares outstanding (m)</t>
  </si>
  <si>
    <t xml:space="preserve">Value per share (US$)</t>
  </si>
  <si>
    <t xml:space="preserve">USD/CAD</t>
  </si>
  <si>
    <t xml:space="preserve">Model value per share (C$)</t>
  </si>
  <si>
    <t xml:space="preserve">At reported NRR unless you change Assumptions!C5</t>
  </si>
  <si>
    <t xml:space="preserve">Upside / (downside) vs. market</t>
  </si>
  <si>
    <t xml:space="preserve">Terminal value as % of enterprise value</t>
  </si>
  <si>
    <t xml:space="preserve">GOAL SEEK TARGET -&gt; model price (C$)</t>
  </si>
  <si>
    <t xml:space="preserve">Set C22 to the market price by changing Assumptions!C5</t>
  </si>
  <si>
    <t xml:space="preserve">Sensitivity - model share price (C$): NRR x discount rate</t>
  </si>
  <si>
    <t xml:space="preserve">Green = at or above today's market price. Red = below. Blue headers are editable.</t>
  </si>
  <si>
    <t xml:space="preserve">Market price (C$):</t>
  </si>
  <si>
    <t xml:space="preserve">NRR ↓  /  Discount rate →</t>
  </si>
  <si>
    <t xml:space="preserve">99% = Docebo's reported FY2025 NRR. 101% = reported NRR excluding AWS.</t>
  </si>
  <si>
    <t xml:space="preserve">Engine (one row per NRR): ARR Y0-Y10, then revenue Y1-Y10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</si>
  <si>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</si>
  <si>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</si>
  <si>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</si>
  <si>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</si>
  <si>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</si>
  <si>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</si>
  <si>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</si>
  <si>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</si>
  <si>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</si>
  <si>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</si>
  <si>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Red flags - what looks sketchy about the company itself</t>
  </si>
  <si>
    <t xml:space="preserve">Facts only, each with its source. Interpretation is in the research report.</t>
  </si>
  <si>
    <t xml:space="preserve">#</t>
  </si>
  <si>
    <t xml:space="preserve">Flag</t>
  </si>
  <si>
    <t xml:space="preserve">The facts</t>
  </si>
  <si>
    <t xml:space="preserve">Buyback nobody wanted</t>
  </si>
  <si>
    <t xml:space="preserve">Announced a US$70M share buyback at US$20.40, citing an undervalued stock; raised the price to US$25.00; only 99,332 shares (US$2.48M) were tendered. Intercap tendered 13,351 shares.</t>
  </si>
  <si>
    <t xml:space="preserve">Docebo SIB announcement 17-Jul-2026; price increase 21-Aug-2026; final results 11-Sep-2026</t>
  </si>
  <si>
    <t xml:space="preserve">Planned to borrow for it</t>
  </si>
  <si>
    <t xml:space="preserve">The US$70M buyback was to be funded with ~US$10M cash and a US$60M draw on the credit facility.</t>
  </si>
  <si>
    <t xml:space="preserve">Docebo SIB announcement 17-Jul-2026</t>
  </si>
  <si>
    <t xml:space="preserve">Debt went up fast</t>
  </si>
  <si>
    <t xml:space="preserve">Credit facility raised from US$50M to US$100M (Feb-2026), then to US$150M. Drew ~US$50M on 14-Jan-2026. Borrowings US$88.0M vs cash US$45.7M at 30-Jun-2026.</t>
  </si>
  <si>
    <t xml:space="preserve">Q1/Q2-2026 MD&amp;A; Docebo release 17-Jul-2026</t>
  </si>
  <si>
    <t xml:space="preserve">Growth partly bought</t>
  </si>
  <si>
    <t xml:space="preserve">Acquired 365Talents (France) on 20-Jan-2026 for US$61.3M (US$54.3M cash at closing). Expected ~US$9M revenue in 2026. 2026 ARR includes acquired ARR, which Docebo does not break out.</t>
  </si>
  <si>
    <t xml:space="preserve">Docebo acquisition release 20-Jan-2026; Q1-2026 preliminary release 21-Apr-2026</t>
  </si>
  <si>
    <t xml:space="preserve">Controlled company</t>
  </si>
  <si>
    <t xml:space="preserve">Intercap owns 63.7% (15.9M shares). Outside shareholders cannot outvote it.</t>
  </si>
  <si>
    <t xml:space="preserve">SIB final results 11-Sep-2026</t>
  </si>
  <si>
    <t xml:space="preserve">Insiders sold near the top</t>
  </si>
  <si>
    <t xml:space="preserve">In 2021 Intercap, founder Claudio Erba and CEO Alessio Artuffo sold shares at C$112.00 and US$49.67 in secondary offerings. The stock is C$33.22 today.</t>
  </si>
  <si>
    <t xml:space="preserve">Docebo secondary offering releases, 2021</t>
  </si>
  <si>
    <t xml:space="preserve">Biggest customers leaving</t>
  </si>
  <si>
    <t xml:space="preserve">Largest OEM customer fell from 9.4% of ARR (Mar-2025) to 3.2% (Mar-2026) and 2.5% (Jun-2026). Management: AWS churn complete, Dayforce winding down.</t>
  </si>
  <si>
    <t xml:space="preserve">Q1-2026 preliminary release 21-Apr-2026; Q2-2026 release; Q2-2026 call</t>
  </si>
  <si>
    <t xml:space="preserve">'Adjusted' hides real costs</t>
  </si>
  <si>
    <t xml:space="preserve">Adjusted EBITDA excludes share-based pay, restructuring, acquisition compensation and transaction costs. Severance: US$5.2M in FY2025 and US$6.2M in Q1-2026 alone.</t>
  </si>
  <si>
    <t xml:space="preserve">Docebo MD&amp;A (non-IFRS definitions); FY2025 and Q1-2026 financial statements</t>
  </si>
  <si>
    <t xml:space="preserve">Cash flow swings</t>
  </si>
  <si>
    <t xml:space="preserve">Free cash flow was US$27.6M (42% of revenue) in Q1-2026, then US$3.1M (4.5%) in Q2-2026.</t>
  </si>
  <si>
    <t xml:space="preserve">Q1-2026 and Q2-2026 press releases</t>
  </si>
  <si>
    <t xml:space="preserve">Growth slowed</t>
  </si>
  <si>
    <t xml:space="preserve">ARR growth fell from 17.8% (Q3-2024) to 8.4% (Q4-2025), then 9.5% (Q2-2026) including the acquisition.</t>
  </si>
  <si>
    <t xml:space="preserve">Q3-2024, Q4-2025 and Q2-2026 press releases</t>
  </si>
  <si>
    <t xml:space="preserve">Sources - every hard-coded number</t>
  </si>
  <si>
    <t xml:space="preserve">Open each link and tick the number. If a link fails, search the document title on Google or Business Wire.</t>
  </si>
  <si>
    <t xml:space="preserve">Item</t>
  </si>
  <si>
    <t xml:space="preserve">Where in this file</t>
  </si>
  <si>
    <t xml:space="preserve">Document</t>
  </si>
  <si>
    <t xml:space="preserve">Link</t>
  </si>
  <si>
    <t xml:space="preserve">ARR (annual recurring revenue), Q3-24</t>
  </si>
  <si>
    <t xml:space="preserve">Inputs!B23</t>
  </si>
  <si>
    <t xml:space="preserve">Docebo Q3-2024 press release, 8 Nov 2024 (sec.gov 6-K docebo2024q3pr)</t>
  </si>
  <si>
    <t xml:space="preserve">https://www.sec.gov/Archives/edgar/data/1829959/000162828024046493/docebo2024q3pr.htm</t>
  </si>
  <si>
    <t xml:space="preserve">ARR (annual recurring revenue), Q4-24</t>
  </si>
  <si>
    <t xml:space="preserve">Inputs!C23</t>
  </si>
  <si>
    <t xml:space="preserve">Docebo Q4/FY2024 press release, 28 Feb 2025 (sec.gov 6-K docebo2024q4pr)</t>
  </si>
  <si>
    <t xml:space="preserve">https://www.sec.gov/Archives/edgar/data/1829959/000162828025008862/docebo2024q4pr.htm</t>
  </si>
  <si>
    <t xml:space="preserve">ARR (annual recurring revenue), Q1-25</t>
  </si>
  <si>
    <t xml:space="preserve">Inputs!D23</t>
  </si>
  <si>
    <t xml:space="preserve">Docebo Q1-2025 press release, 9 May 2025 (sec.gov 6-K docebo2025q1pr)</t>
  </si>
  <si>
    <t xml:space="preserve">https://www.sec.gov/Archives/edgar/data/1829959/000162828025024057/docebo2025q1pr.htm</t>
  </si>
  <si>
    <t xml:space="preserve">ARR (annual recurring revenue), Q2-25</t>
  </si>
  <si>
    <t xml:space="preserve">Inputs!E23</t>
  </si>
  <si>
    <t xml:space="preserve">Docebo Q2-2025 press release, 8 Aug 2025 (sec.gov 6-K docebo2025q2pr)</t>
  </si>
  <si>
    <t xml:space="preserve">https://www.sec.gov/Archives/edgar/data/1829959/000162828025039119/docebo2025q2pr.htm</t>
  </si>
  <si>
    <t xml:space="preserve">ARR (annual recurring revenue), Q3-25</t>
  </si>
  <si>
    <t xml:space="preserve">Inputs!F23</t>
  </si>
  <si>
    <t xml:space="preserve">Docebo Q3-2025 press release, 7 Nov 2025 (sec.gov 6-K docebo2025q3pr)</t>
  </si>
  <si>
    <t xml:space="preserve">https://www.sec.gov/Archives/edgar/data/1829959/000162828025050413/docebo2025q3pr.htm</t>
  </si>
  <si>
    <t xml:space="preserve">ARR (annual recurring revenue), Q4-25</t>
  </si>
  <si>
    <t xml:space="preserve">Inputs!G23</t>
  </si>
  <si>
    <t xml:space="preserve">Docebo Q4/FY2025 press release, 27 Feb 2026 (sec.gov 6-K docebo2025q4pr)</t>
  </si>
  <si>
    <t xml:space="preserve">https://www.sec.gov/Archives/edgar/data/1829959/000162828026012570/docebo2025q4pr.htm</t>
  </si>
  <si>
    <t xml:space="preserve">ARR (annual recurring revenue), Q1-26</t>
  </si>
  <si>
    <t xml:space="preserve">Inputs!H23</t>
  </si>
  <si>
    <t xml:space="preserve">Docebo Q1-2026 press release, 8 May 2026 (sec.gov 6-K docebo2026q1pr)</t>
  </si>
  <si>
    <t xml:space="preserve">https://www.sec.gov/Archives/edgar/data/0001829959/000162828026032550/docebo2026q1pr.htm</t>
  </si>
  <si>
    <t xml:space="preserve">ARR (annual recurring revenue), Q2-26</t>
  </si>
  <si>
    <t xml:space="preserve">Inputs!I23</t>
  </si>
  <si>
    <t xml:space="preserve">Docebo Q2-2026 press release, 7 Aug 2026 (sec.gov 6-K docebo2026q2pr)</t>
  </si>
  <si>
    <t xml:space="preserve">https://www.sec.gov/Archives/edgar/data/1829959/000162828026054559/docebo2026q2pr.htm</t>
  </si>
  <si>
    <t xml:space="preserve">Total revenue, Q3-24</t>
  </si>
  <si>
    <t xml:space="preserve">Inputs!B24</t>
  </si>
  <si>
    <t xml:space="preserve">Total revenue, Q4-24</t>
  </si>
  <si>
    <t xml:space="preserve">Inputs!C24</t>
  </si>
  <si>
    <t xml:space="preserve">Total revenue, Q1-25</t>
  </si>
  <si>
    <t xml:space="preserve">Inputs!D24</t>
  </si>
  <si>
    <t xml:space="preserve">Total revenue, Q2-25</t>
  </si>
  <si>
    <t xml:space="preserve">Inputs!E24</t>
  </si>
  <si>
    <t xml:space="preserve">Total revenue, Q3-25</t>
  </si>
  <si>
    <t xml:space="preserve">Inputs!F24</t>
  </si>
  <si>
    <t xml:space="preserve">Total revenue, Q4-25</t>
  </si>
  <si>
    <t xml:space="preserve">Inputs!G24</t>
  </si>
  <si>
    <t xml:space="preserve">Total revenue, Q1-26</t>
  </si>
  <si>
    <t xml:space="preserve">Inputs!H24</t>
  </si>
  <si>
    <t xml:space="preserve">Total revenue, Q2-26</t>
  </si>
  <si>
    <t xml:space="preserve">Inputs!I24</t>
  </si>
  <si>
    <t xml:space="preserve">Adjusted EBITDA, Q3-24</t>
  </si>
  <si>
    <t xml:space="preserve">Inputs!B25</t>
  </si>
  <si>
    <t xml:space="preserve">Docebo Q3-2025 press release, 7 Nov 2025 (sec.gov 6-K docebo2025q3pr) - prior-year comparison</t>
  </si>
  <si>
    <t xml:space="preserve">Adjusted EBITDA, Q4-24</t>
  </si>
  <si>
    <t xml:space="preserve">Inputs!C25</t>
  </si>
  <si>
    <t xml:space="preserve">Docebo Q4/FY2025 press release, 27 Feb 2026 (sec.gov 6-K docebo2025q4pr) - prior-year comparison</t>
  </si>
  <si>
    <t xml:space="preserve">Adjusted EBITDA, Q1-25</t>
  </si>
  <si>
    <t xml:space="preserve">Inputs!D25</t>
  </si>
  <si>
    <t xml:space="preserve">Adjusted EBITDA, Q2-25</t>
  </si>
  <si>
    <t xml:space="preserve">Inputs!E25</t>
  </si>
  <si>
    <t xml:space="preserve">Adjusted EBITDA, Q3-25</t>
  </si>
  <si>
    <t xml:space="preserve">Inputs!F25</t>
  </si>
  <si>
    <t xml:space="preserve">Adjusted EBITDA, Q4-25</t>
  </si>
  <si>
    <t xml:space="preserve">Inputs!G25</t>
  </si>
  <si>
    <t xml:space="preserve">Adjusted EBITDA, Q1-26</t>
  </si>
  <si>
    <t xml:space="preserve">Inputs!H25</t>
  </si>
  <si>
    <t xml:space="preserve">Adjusted EBITDA, Q2-26</t>
  </si>
  <si>
    <t xml:space="preserve">Inputs!I25</t>
  </si>
  <si>
    <t xml:space="preserve">Free cash flow (company definition), Q3-24</t>
  </si>
  <si>
    <t xml:space="preserve">Inputs!B26</t>
  </si>
  <si>
    <t xml:space="preserve">Free cash flow (company definition), Q4-24</t>
  </si>
  <si>
    <t xml:space="preserve">Inputs!C26</t>
  </si>
  <si>
    <t xml:space="preserve">Free cash flow (company definition), Q1-25</t>
  </si>
  <si>
    <t xml:space="preserve">Inputs!D26</t>
  </si>
  <si>
    <t xml:space="preserve">Free cash flow (company definition), Q2-25</t>
  </si>
  <si>
    <t xml:space="preserve">Inputs!E26</t>
  </si>
  <si>
    <t xml:space="preserve">Free cash flow (company definition), Q3-25</t>
  </si>
  <si>
    <t xml:space="preserve">Inputs!F26</t>
  </si>
  <si>
    <t xml:space="preserve">Free cash flow (company definition), Q4-25</t>
  </si>
  <si>
    <t xml:space="preserve">Inputs!G26</t>
  </si>
  <si>
    <t xml:space="preserve">Free cash flow (company definition), Q1-26</t>
  </si>
  <si>
    <t xml:space="preserve">Inputs!H26</t>
  </si>
  <si>
    <t xml:space="preserve">Free cash flow (company definition), Q2-26</t>
  </si>
  <si>
    <t xml:space="preserve">Inputs!I26</t>
  </si>
  <si>
    <t xml:space="preserve">Share price (TSX), 17-Sep-2026</t>
  </si>
  <si>
    <t xml:space="preserve">Inputs!B5</t>
  </si>
  <si>
    <t xml:space="preserve">TMX Money / Investing.com close</t>
  </si>
  <si>
    <t xml:space="preserve">https://money.tmx.com/en/quote/DCBO</t>
  </si>
  <si>
    <t xml:space="preserve">USD/CAD, 17-Sep-2026</t>
  </si>
  <si>
    <t xml:space="preserve">Inputs!B6</t>
  </si>
  <si>
    <t xml:space="preserve">MTFX historical rates (verify: Bank of Canada daily rates)</t>
  </si>
  <si>
    <t xml:space="preserve">https://www.bankofcanada.ca/rates/exchange/daily-exchange-rates/</t>
  </si>
  <si>
    <t xml:space="preserve">Intercap shares / ownership</t>
  </si>
  <si>
    <t xml:space="preserve">Inputs!B7:B8</t>
  </si>
  <si>
    <t xml:space="preserve">Docebo SIB final results, 11-Sep-2026</t>
  </si>
  <si>
    <t xml:space="preserve">https://finance.yahoo.com/markets/stocks/articles/docebo-inc-announces-final-results-110000945.html</t>
  </si>
  <si>
    <t xml:space="preserve">Buyback cash paid</t>
  </si>
  <si>
    <t xml:space="preserve">Inputs!B12</t>
  </si>
  <si>
    <t xml:space="preserve">Cash / borrowings, 30-Jun-2026</t>
  </si>
  <si>
    <t xml:space="preserve">45.7 / 88.0</t>
  </si>
  <si>
    <t xml:space="preserve">Inputs!B11, B14</t>
  </si>
  <si>
    <t xml:space="preserve">Docebo SIB + preliminary Q2-2026 release, 17-Jul-2026</t>
  </si>
  <si>
    <t xml:space="preserve">https://finance.yahoo.com/markets/stocks/articles/docebo-inc-announces-substantial-issuer-103000376.html</t>
  </si>
  <si>
    <t xml:space="preserve">Gross margin Q2-2026</t>
  </si>
  <si>
    <t xml:space="preserve">Inputs!B16</t>
  </si>
  <si>
    <t xml:space="preserve">NRR FY2025 (and ex-AWS)</t>
  </si>
  <si>
    <t xml:space="preserve">99% / 101%</t>
  </si>
  <si>
    <t xml:space="preserve">Inputs!B17:B18</t>
  </si>
  <si>
    <t xml:space="preserve">Q4-2025 earnings call coverage, Globe and Mail</t>
  </si>
  <si>
    <t xml:space="preserve">https://www.theglobeandmail.com/investing/markets/stocks/DCBO/pressreleases/632787/docebo-earnings-call-bookings-strength-amid-cautious-outlook/</t>
  </si>
  <si>
    <t xml:space="preserve">EBITDA margin target 2028</t>
  </si>
  <si>
    <t xml:space="preserve">Inputs!B19</t>
  </si>
  <si>
    <t xml:space="preserve">Docebo long-term model (Investing.com coverage)</t>
  </si>
  <si>
    <t xml:space="preserve">https://www.investing.com/news/analyst-ratings/needham-reiterates-docebo-stock-rating-on-efficiency-gains-93CH-4628763</t>
  </si>
  <si>
    <t xml:space="preserve">Canada 10-year yield</t>
  </si>
  <si>
    <t xml:space="preserve">Inputs!B20</t>
  </si>
  <si>
    <t xml:space="preserve">Trading Economics, 29-Sep-2026</t>
  </si>
  <si>
    <t xml:space="preserve">https://tradingeconomics.com/canada/government-bond-yield</t>
  </si>
  <si>
    <t xml:space="preserve">Tracker - did the market's hidden bet change after news?</t>
  </si>
  <si>
    <t xml:space="preserve">After each earnings release: update Inputs, then add a row and PASTE AS VALUES the live results from Reverse DCF.</t>
  </si>
  <si>
    <t xml:space="preserve">Date</t>
  </si>
  <si>
    <t xml:space="preserve">Event</t>
  </si>
  <si>
    <t xml:space="preserve">ARR US$m</t>
  </si>
  <si>
    <t xml:space="preserve">Reported NRR</t>
  </si>
  <si>
    <t xml:space="preserve">Implied NRR</t>
  </si>
  <si>
    <t xml:space="preserve">Model value C$</t>
  </si>
  <si>
    <t xml:space="preserve">What changed / my read</t>
  </si>
  <si>
    <t xml:space="preserve">2026-09-17</t>
  </si>
  <si>
    <t xml:space="preserve">Baseline (after Q2-2026 results)</t>
  </si>
  <si>
    <t xml:space="preserve">Live link for now - paste as values before adding the next row.</t>
  </si>
  <si>
    <t xml:space="preserve">Nov-2026</t>
  </si>
  <si>
    <t xml:space="preserve">Q3-2026 results (expected early Nov 2026)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</si>
</sst>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000"/>
    <numFmt numFmtId="167" formatCode="0.00"/>
    <numFmt numFmtId="168" formatCode="0.0%;\(0.0%\);\-"/>
    <numFmt numFmtId="169" formatCode="#,##0.0;\(#,##0.0\);\-"/>
    <numFmt numFmtId="170" formatCode="0.000"/>
    <numFmt numFmtId="171" formatCode="0.0\x"/>
    <numFmt numFmtId="172" formatCode="\+0.0%;\-0.0%;0.0%"/>
    <numFmt numFmtId="173" formatCode="#,##0"/>
    <numFmt numFmtId="174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829959/000162828024046493/docebo2024q3pr.htm" TargetMode="External"/><Relationship Id="rId2" Type="http://schemas.openxmlformats.org/officeDocument/2006/relationships/hyperlink" Target="https://www.sec.gov/Archives/edgar/data/1829959/000162828025008862/docebo2024q4pr.htm" TargetMode="External"/><Relationship Id="rId3" Type="http://schemas.openxmlformats.org/officeDocument/2006/relationships/hyperlink" Target="https://www.sec.gov/Archives/edgar/data/1829959/000162828025024057/docebo2025q1pr.htm" TargetMode="External"/><Relationship Id="rId4" Type="http://schemas.openxmlformats.org/officeDocument/2006/relationships/hyperlink" Target="https://www.sec.gov/Archives/edgar/data/1829959/000162828025039119/docebo2025q2pr.htm" TargetMode="External"/><Relationship Id="rId5" Type="http://schemas.openxmlformats.org/officeDocument/2006/relationships/hyperlink" Target="https://www.sec.gov/Archives/edgar/data/1829959/000162828025050413/docebo2025q3pr.htm" TargetMode="External"/><Relationship Id="rId6" Type="http://schemas.openxmlformats.org/officeDocument/2006/relationships/hyperlink" Target="https://www.sec.gov/Archives/edgar/data/1829959/000162828026012570/docebo2025q4pr.htm" TargetMode="External"/><Relationship Id="rId7" Type="http://schemas.openxmlformats.org/officeDocument/2006/relationships/hyperlink" Target="https://www.sec.gov/Archives/edgar/data/0001829959/000162828026032550/docebo2026q1pr.htm" TargetMode="External"/><Relationship Id="rId8" Type="http://schemas.openxmlformats.org/officeDocument/2006/relationships/hyperlink" Target="https://www.sec.gov/Archives/edgar/data/1829959/000162828026054559/docebo2026q2pr.htm" TargetMode="External"/><Relationship Id="rId9" Type="http://schemas.openxmlformats.org/officeDocument/2006/relationships/hyperlink" Target="https://www.sec.gov/Archives/edgar/data/1829959/000162828024046493/docebo2024q3pr.htm" TargetMode="External"/><Relationship Id="rId10" Type="http://schemas.openxmlformats.org/officeDocument/2006/relationships/hyperlink" Target="https://www.sec.gov/Archives/edgar/data/1829959/000162828025008862/docebo2024q4pr.htm" TargetMode="External"/><Relationship Id="rId11" Type="http://schemas.openxmlformats.org/officeDocument/2006/relationships/hyperlink" Target="https://www.sec.gov/Archives/edgar/data/1829959/000162828025024057/docebo2025q1pr.htm" TargetMode="External"/><Relationship Id="rId12" Type="http://schemas.openxmlformats.org/officeDocument/2006/relationships/hyperlink" Target="https://www.sec.gov/Archives/edgar/data/1829959/000162828025039119/docebo2025q2pr.htm" TargetMode="External"/><Relationship Id="rId13" Type="http://schemas.openxmlformats.org/officeDocument/2006/relationships/hyperlink" Target="https://www.sec.gov/Archives/edgar/data/1829959/000162828025050413/docebo2025q3pr.htm" TargetMode="External"/><Relationship Id="rId14" Type="http://schemas.openxmlformats.org/officeDocument/2006/relationships/hyperlink" Target="https://www.sec.gov/Archives/edgar/data/1829959/000162828026012570/docebo2025q4pr.htm" TargetMode="External"/><Relationship Id="rId15" Type="http://schemas.openxmlformats.org/officeDocument/2006/relationships/hyperlink" Target="https://www.sec.gov/Archives/edgar/data/0001829959/000162828026032550/docebo2026q1pr.htm" TargetMode="External"/><Relationship Id="rId16" Type="http://schemas.openxmlformats.org/officeDocument/2006/relationships/hyperlink" Target="https://www.sec.gov/Archives/edgar/data/1829959/000162828026054559/docebo2026q2pr.htm" TargetMode="External"/><Relationship Id="rId17" Type="http://schemas.openxmlformats.org/officeDocument/2006/relationships/hyperlink" Target="https://www.sec.gov/Archives/edgar/data/1829959/000162828025050413/docebo2025q3pr.htm" TargetMode="External"/><Relationship Id="rId18" Type="http://schemas.openxmlformats.org/officeDocument/2006/relationships/hyperlink" Target="https://www.sec.gov/Archives/edgar/data/1829959/000162828026012570/docebo2025q4pr.htm" TargetMode="External"/><Relationship Id="rId19" Type="http://schemas.openxmlformats.org/officeDocument/2006/relationships/hyperlink" Target="https://www.sec.gov/Archives/edgar/data/1829959/000162828025024057/docebo2025q1pr.htm" TargetMode="External"/><Relationship Id="rId20" Type="http://schemas.openxmlformats.org/officeDocument/2006/relationships/hyperlink" Target="https://www.sec.gov/Archives/edgar/data/1829959/000162828025039119/docebo2025q2pr.htm" TargetMode="External"/><Relationship Id="rId21" Type="http://schemas.openxmlformats.org/officeDocument/2006/relationships/hyperlink" Target="https://www.sec.gov/Archives/edgar/data/1829959/000162828025050413/docebo2025q3pr.htm" TargetMode="External"/><Relationship Id="rId22" Type="http://schemas.openxmlformats.org/officeDocument/2006/relationships/hyperlink" Target="https://www.sec.gov/Archives/edgar/data/1829959/000162828026012570/docebo2025q4pr.htm" TargetMode="External"/><Relationship Id="rId23" Type="http://schemas.openxmlformats.org/officeDocument/2006/relationships/hyperlink" Target="https://www.sec.gov/Archives/edgar/data/0001829959/000162828026032550/docebo2026q1pr.htm" TargetMode="External"/><Relationship Id="rId24" Type="http://schemas.openxmlformats.org/officeDocument/2006/relationships/hyperlink" Target="https://www.sec.gov/Archives/edgar/data/1829959/000162828026054559/docebo2026q2pr.htm" TargetMode="External"/><Relationship Id="rId25" Type="http://schemas.openxmlformats.org/officeDocument/2006/relationships/hyperlink" Target="https://www.sec.gov/Archives/edgar/data/1829959/000162828025050413/docebo2025q3pr.htm" TargetMode="External"/><Relationship Id="rId26" Type="http://schemas.openxmlformats.org/officeDocument/2006/relationships/hyperlink" Target="https://www.sec.gov/Archives/edgar/data/1829959/000162828026012570/docebo2025q4pr.htm" TargetMode="External"/><Relationship Id="rId27" Type="http://schemas.openxmlformats.org/officeDocument/2006/relationships/hyperlink" Target="https://www.sec.gov/Archives/edgar/data/1829959/000162828025024057/docebo2025q1pr.htm" TargetMode="External"/><Relationship Id="rId28" Type="http://schemas.openxmlformats.org/officeDocument/2006/relationships/hyperlink" Target="https://www.sec.gov/Archives/edgar/data/1829959/000162828025039119/docebo2025q2pr.htm" TargetMode="External"/><Relationship Id="rId29" Type="http://schemas.openxmlformats.org/officeDocument/2006/relationships/hyperlink" Target="https://www.sec.gov/Archives/edgar/data/1829959/000162828025050413/docebo2025q3pr.htm" TargetMode="External"/><Relationship Id="rId30" Type="http://schemas.openxmlformats.org/officeDocument/2006/relationships/hyperlink" Target="https://www.sec.gov/Archives/edgar/data/1829959/000162828026012570/docebo2025q4pr.htm" TargetMode="External"/><Relationship Id="rId31" Type="http://schemas.openxmlformats.org/officeDocument/2006/relationships/hyperlink" Target="https://www.sec.gov/Archives/edgar/data/0001829959/000162828026032550/docebo2026q1pr.htm" TargetMode="External"/><Relationship Id="rId32" Type="http://schemas.openxmlformats.org/officeDocument/2006/relationships/hyperlink" Target="https://www.sec.gov/Archives/edgar/data/1829959/000162828026054559/docebo2026q2pr.htm" TargetMode="External"/><Relationship Id="rId33" Type="http://schemas.openxmlformats.org/officeDocument/2006/relationships/hyperlink" Target="https://money.tmx.com/en/quote/DCBO" TargetMode="External"/><Relationship Id="rId34" Type="http://schemas.openxmlformats.org/officeDocument/2006/relationships/hyperlink" Target="https://www.bankofcanada.ca/rates/exchange/daily-exchange-rates/" TargetMode="External"/><Relationship Id="rId35" Type="http://schemas.openxmlformats.org/officeDocument/2006/relationships/hyperlink" Target="https://finance.yahoo.com/markets/stocks/articles/docebo-inc-announces-final-results-110000945.html" TargetMode="External"/><Relationship Id="rId36" Type="http://schemas.openxmlformats.org/officeDocument/2006/relationships/hyperlink" Target="https://finance.yahoo.com/markets/stocks/articles/docebo-inc-announces-final-results-110000945.html" TargetMode="External"/><Relationship Id="rId37" Type="http://schemas.openxmlformats.org/officeDocument/2006/relationships/hyperlink" Target="https://finance.yahoo.com/markets/stocks/articles/docebo-inc-announces-substantial-issuer-103000376.html" TargetMode="External"/><Relationship Id="rId38" Type="http://schemas.openxmlformats.org/officeDocument/2006/relationships/hyperlink" Target="https://www.sec.gov/Archives/edgar/data/1829959/000162828026054559/docebo2026q2pr.htm" TargetMode="External"/><Relationship Id="rId39" Type="http://schemas.openxmlformats.org/officeDocument/2006/relationships/hyperlink" Target="https://www.theglobeandmail.com/investing/markets/stocks/DCBO/pressreleases/632787/docebo-earnings-call-bookings-strength-amid-cautious-outlook/" TargetMode="External"/><Relationship Id="rId40" Type="http://schemas.openxmlformats.org/officeDocument/2006/relationships/hyperlink" Target="https://www.investing.com/news/analyst-ratings/needham-reiterates-docebo-stock-rating-on-efficiency-gains-93CH-4628763" TargetMode="External"/><Relationship Id="rId41" Type="http://schemas.openxmlformats.org/officeDocument/2006/relationships/hyperlink" Target="https://tradingeconomics.com/canada/government-bond-yiel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4" t="s">
        <v>26</v>
      </c>
    </row>
    <row r="34" customFormat="false" ht="15" hidden="false" customHeight="false" outlineLevel="0" collapsed="false">
      <c r="B34" s="3" t="s">
        <v>27</v>
      </c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3" t="s">
        <v>29</v>
      </c>
    </row>
    <row r="37" customFormat="false" ht="15" hidden="false" customHeight="false" outlineLevel="0" collapsed="false">
      <c r="B37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1"/>
    <col collapsed="false" customWidth="true" hidden="false" outlineLevel="0" max="10" min="10" style="0" width="16"/>
    <col collapsed="false" customWidth="true" hidden="false" outlineLevel="0" max="11" min="11" style="0" width="78"/>
  </cols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6" t="s">
        <v>32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/>
      <c r="E4" s="8"/>
      <c r="F4" s="8"/>
      <c r="G4" s="8"/>
      <c r="H4" s="8"/>
      <c r="I4" s="8"/>
      <c r="J4" s="8" t="s">
        <v>36</v>
      </c>
      <c r="K4" s="8" t="s">
        <v>37</v>
      </c>
    </row>
    <row r="5" customFormat="false" ht="15" hidden="false" customHeight="false" outlineLevel="0" collapsed="false">
      <c r="A5" s="9" t="s">
        <v>38</v>
      </c>
      <c r="B5" s="10" t="n">
        <v>33.22</v>
      </c>
      <c r="C5" s="11" t="s">
        <v>39</v>
      </c>
      <c r="J5" s="12" t="s">
        <v>40</v>
      </c>
      <c r="K5" s="6" t="s">
        <v>41</v>
      </c>
    </row>
    <row r="6" customFormat="false" ht="15" hidden="false" customHeight="false" outlineLevel="0" collapsed="false">
      <c r="A6" s="9" t="s">
        <v>42</v>
      </c>
      <c r="B6" s="13" t="n">
        <v>1.3991</v>
      </c>
      <c r="C6" s="11" t="s">
        <v>43</v>
      </c>
      <c r="J6" s="12" t="s">
        <v>40</v>
      </c>
      <c r="K6" s="6" t="s">
        <v>44</v>
      </c>
    </row>
    <row r="7" customFormat="false" ht="15" hidden="false" customHeight="false" outlineLevel="0" collapsed="false">
      <c r="A7" s="9" t="s">
        <v>45</v>
      </c>
      <c r="B7" s="14" t="n">
        <v>15.9</v>
      </c>
      <c r="C7" s="11" t="s">
        <v>46</v>
      </c>
      <c r="J7" s="12" t="s">
        <v>40</v>
      </c>
      <c r="K7" s="6" t="s">
        <v>47</v>
      </c>
    </row>
    <row r="8" customFormat="false" ht="15" hidden="false" customHeight="false" outlineLevel="0" collapsed="false">
      <c r="A8" s="9" t="s">
        <v>48</v>
      </c>
      <c r="B8" s="15" t="n">
        <v>0.637</v>
      </c>
      <c r="C8" s="11" t="s">
        <v>49</v>
      </c>
      <c r="J8" s="12" t="s">
        <v>40</v>
      </c>
      <c r="K8" s="6" t="s">
        <v>50</v>
      </c>
    </row>
    <row r="9" customFormat="false" ht="15" hidden="false" customHeight="false" outlineLevel="0" collapsed="false">
      <c r="A9" s="9" t="s">
        <v>51</v>
      </c>
      <c r="B9" s="16" t="n">
        <f aca="false">B7/B8</f>
        <v>24.9607535321821</v>
      </c>
      <c r="C9" s="11" t="s">
        <v>46</v>
      </c>
      <c r="J9" s="12" t="s">
        <v>52</v>
      </c>
      <c r="K9" s="6" t="s">
        <v>53</v>
      </c>
    </row>
    <row r="10" customFormat="false" ht="15" hidden="false" customHeight="false" outlineLevel="0" collapsed="false">
      <c r="A10" s="9" t="s">
        <v>54</v>
      </c>
      <c r="B10" s="17" t="n">
        <f aca="false">B5*B9</f>
        <v>829.196232339089</v>
      </c>
      <c r="C10" s="11" t="s">
        <v>55</v>
      </c>
      <c r="J10" s="12" t="s">
        <v>52</v>
      </c>
      <c r="K10" s="6" t="s">
        <v>56</v>
      </c>
    </row>
    <row r="11" customFormat="false" ht="15" hidden="false" customHeight="false" outlineLevel="0" collapsed="false">
      <c r="A11" s="9" t="s">
        <v>57</v>
      </c>
      <c r="B11" s="18" t="n">
        <v>45.7</v>
      </c>
      <c r="C11" s="11" t="s">
        <v>58</v>
      </c>
      <c r="J11" s="12" t="s">
        <v>40</v>
      </c>
      <c r="K11" s="6" t="s">
        <v>59</v>
      </c>
    </row>
    <row r="12" customFormat="false" ht="15" hidden="false" customHeight="false" outlineLevel="0" collapsed="false">
      <c r="A12" s="9" t="s">
        <v>60</v>
      </c>
      <c r="B12" s="18" t="n">
        <v>2.4833</v>
      </c>
      <c r="C12" s="11" t="s">
        <v>58</v>
      </c>
      <c r="J12" s="12" t="s">
        <v>40</v>
      </c>
      <c r="K12" s="6" t="s">
        <v>61</v>
      </c>
    </row>
    <row r="13" customFormat="false" ht="15" hidden="false" customHeight="false" outlineLevel="0" collapsed="false">
      <c r="A13" s="9" t="s">
        <v>62</v>
      </c>
      <c r="B13" s="17" t="n">
        <f aca="false">B11-B12</f>
        <v>43.2167</v>
      </c>
      <c r="C13" s="11" t="s">
        <v>58</v>
      </c>
      <c r="J13" s="12" t="s">
        <v>52</v>
      </c>
      <c r="K13" s="6" t="s">
        <v>63</v>
      </c>
    </row>
    <row r="14" customFormat="false" ht="15" hidden="false" customHeight="false" outlineLevel="0" collapsed="false">
      <c r="A14" s="9" t="s">
        <v>64</v>
      </c>
      <c r="B14" s="18" t="n">
        <v>88</v>
      </c>
      <c r="C14" s="11" t="s">
        <v>58</v>
      </c>
      <c r="J14" s="12" t="s">
        <v>40</v>
      </c>
      <c r="K14" s="6" t="s">
        <v>65</v>
      </c>
    </row>
    <row r="15" customFormat="false" ht="15" hidden="false" customHeight="false" outlineLevel="0" collapsed="false">
      <c r="A15" s="9" t="s">
        <v>66</v>
      </c>
      <c r="B15" s="17" t="n">
        <f aca="false">B14-B13</f>
        <v>44.7833</v>
      </c>
      <c r="C15" s="11" t="s">
        <v>58</v>
      </c>
      <c r="J15" s="12" t="s">
        <v>52</v>
      </c>
      <c r="K15" s="6" t="s">
        <v>67</v>
      </c>
    </row>
    <row r="16" customFormat="false" ht="15" hidden="false" customHeight="false" outlineLevel="0" collapsed="false">
      <c r="A16" s="9" t="s">
        <v>68</v>
      </c>
      <c r="B16" s="15" t="n">
        <v>0.794</v>
      </c>
      <c r="C16" s="11" t="s">
        <v>49</v>
      </c>
      <c r="J16" s="12" t="s">
        <v>40</v>
      </c>
      <c r="K16" s="6" t="s">
        <v>69</v>
      </c>
    </row>
    <row r="17" customFormat="false" ht="15" hidden="false" customHeight="false" outlineLevel="0" collapsed="false">
      <c r="A17" s="9" t="s">
        <v>70</v>
      </c>
      <c r="B17" s="19" t="n">
        <v>0.99</v>
      </c>
      <c r="C17" s="11" t="s">
        <v>49</v>
      </c>
      <c r="J17" s="12" t="s">
        <v>40</v>
      </c>
      <c r="K17" s="6" t="s">
        <v>71</v>
      </c>
    </row>
    <row r="18" customFormat="false" ht="15" hidden="false" customHeight="false" outlineLevel="0" collapsed="false">
      <c r="A18" s="9" t="s">
        <v>72</v>
      </c>
      <c r="B18" s="15" t="n">
        <v>1.01</v>
      </c>
      <c r="C18" s="11" t="s">
        <v>49</v>
      </c>
      <c r="J18" s="12" t="s">
        <v>40</v>
      </c>
      <c r="K18" s="6" t="s">
        <v>73</v>
      </c>
    </row>
    <row r="19" customFormat="false" ht="15" hidden="false" customHeight="false" outlineLevel="0" collapsed="false">
      <c r="A19" s="9" t="s">
        <v>74</v>
      </c>
      <c r="B19" s="15" t="n">
        <v>0.24</v>
      </c>
      <c r="C19" s="11" t="s">
        <v>49</v>
      </c>
      <c r="J19" s="12" t="s">
        <v>75</v>
      </c>
      <c r="K19" s="6" t="s">
        <v>76</v>
      </c>
    </row>
    <row r="20" customFormat="false" ht="15" hidden="false" customHeight="false" outlineLevel="0" collapsed="false">
      <c r="A20" s="9" t="s">
        <v>77</v>
      </c>
      <c r="B20" s="15" t="n">
        <v>0.0399</v>
      </c>
      <c r="C20" s="11" t="s">
        <v>49</v>
      </c>
      <c r="J20" s="12" t="s">
        <v>40</v>
      </c>
      <c r="K20" s="6" t="s">
        <v>78</v>
      </c>
    </row>
    <row r="22" customFormat="false" ht="15" hidden="false" customHeight="false" outlineLevel="0" collapsed="false">
      <c r="A22" s="7" t="s">
        <v>79</v>
      </c>
      <c r="B22" s="8" t="s">
        <v>80</v>
      </c>
      <c r="C22" s="8" t="s">
        <v>81</v>
      </c>
      <c r="D22" s="8" t="s">
        <v>82</v>
      </c>
      <c r="E22" s="8" t="s">
        <v>83</v>
      </c>
      <c r="F22" s="8" t="s">
        <v>84</v>
      </c>
      <c r="G22" s="8" t="s">
        <v>85</v>
      </c>
      <c r="H22" s="8" t="s">
        <v>86</v>
      </c>
      <c r="I22" s="8" t="s">
        <v>87</v>
      </c>
      <c r="J22" s="8" t="s">
        <v>36</v>
      </c>
      <c r="K22" s="8" t="s">
        <v>37</v>
      </c>
    </row>
    <row r="23" customFormat="false" ht="15" hidden="false" customHeight="false" outlineLevel="0" collapsed="false">
      <c r="A23" s="9" t="s">
        <v>88</v>
      </c>
      <c r="B23" s="18" t="n">
        <v>214.1</v>
      </c>
      <c r="C23" s="18" t="n">
        <v>219.7</v>
      </c>
      <c r="D23" s="18" t="n">
        <v>225.1</v>
      </c>
      <c r="E23" s="18" t="n">
        <v>233.1</v>
      </c>
      <c r="F23" s="18" t="n">
        <v>235.6</v>
      </c>
      <c r="G23" s="18" t="n">
        <v>238.1</v>
      </c>
      <c r="H23" s="18" t="n">
        <v>248.9</v>
      </c>
      <c r="I23" s="18" t="n">
        <v>255.1</v>
      </c>
      <c r="J23" s="12" t="s">
        <v>40</v>
      </c>
      <c r="K23" s="6" t="s">
        <v>89</v>
      </c>
    </row>
    <row r="24" customFormat="false" ht="15" hidden="false" customHeight="false" outlineLevel="0" collapsed="false">
      <c r="A24" s="9" t="s">
        <v>90</v>
      </c>
      <c r="B24" s="18" t="n">
        <v>55.4</v>
      </c>
      <c r="C24" s="18" t="n">
        <v>57</v>
      </c>
      <c r="D24" s="18" t="n">
        <v>57.3</v>
      </c>
      <c r="E24" s="18" t="n">
        <v>60.7</v>
      </c>
      <c r="F24" s="18" t="n">
        <v>61.6</v>
      </c>
      <c r="G24" s="18" t="n">
        <v>63</v>
      </c>
      <c r="H24" s="18" t="n">
        <v>65.6</v>
      </c>
      <c r="I24" s="18" t="n">
        <v>68.7</v>
      </c>
      <c r="J24" s="12" t="s">
        <v>40</v>
      </c>
      <c r="K24" s="6" t="s">
        <v>89</v>
      </c>
    </row>
    <row r="25" customFormat="false" ht="15" hidden="false" customHeight="false" outlineLevel="0" collapsed="false">
      <c r="A25" s="9" t="s">
        <v>91</v>
      </c>
      <c r="B25" s="18" t="n">
        <v>8.7</v>
      </c>
      <c r="C25" s="18" t="n">
        <v>9.5</v>
      </c>
      <c r="D25" s="18" t="n">
        <v>8.9</v>
      </c>
      <c r="E25" s="18" t="n">
        <v>9.2</v>
      </c>
      <c r="F25" s="18" t="n">
        <v>12.4</v>
      </c>
      <c r="G25" s="18" t="n">
        <v>13.3</v>
      </c>
      <c r="H25" s="18" t="n">
        <v>11</v>
      </c>
      <c r="I25" s="18" t="n">
        <v>11.2</v>
      </c>
      <c r="J25" s="12" t="s">
        <v>40</v>
      </c>
      <c r="K25" s="6" t="s">
        <v>89</v>
      </c>
    </row>
    <row r="26" customFormat="false" ht="15" hidden="false" customHeight="false" outlineLevel="0" collapsed="false">
      <c r="A26" s="9" t="s">
        <v>92</v>
      </c>
      <c r="B26" s="18" t="n">
        <v>4.5</v>
      </c>
      <c r="C26" s="18" t="n">
        <v>10.1</v>
      </c>
      <c r="D26" s="18" t="n">
        <v>9</v>
      </c>
      <c r="E26" s="18" t="n">
        <v>11.4</v>
      </c>
      <c r="F26" s="18" t="n">
        <v>5.7</v>
      </c>
      <c r="G26" s="18" t="n">
        <v>12.3</v>
      </c>
      <c r="H26" s="18" t="n">
        <v>27.6</v>
      </c>
      <c r="I26" s="18" t="n">
        <v>3.1</v>
      </c>
      <c r="J26" s="12" t="s">
        <v>40</v>
      </c>
      <c r="K26" s="6" t="s">
        <v>89</v>
      </c>
    </row>
    <row r="27" customFormat="false" ht="15" hidden="false" customHeight="false" outlineLevel="0" collapsed="false">
      <c r="A27" s="9" t="s">
        <v>93</v>
      </c>
      <c r="B27" s="20" t="n">
        <f aca="false">B26/B24</f>
        <v>0.0812274368231047</v>
      </c>
      <c r="C27" s="20" t="n">
        <f aca="false">C26/C24</f>
        <v>0.17719298245614</v>
      </c>
      <c r="D27" s="20" t="n">
        <f aca="false">D26/D24</f>
        <v>0.157068062827225</v>
      </c>
      <c r="E27" s="20" t="n">
        <f aca="false">E26/E24</f>
        <v>0.187808896210873</v>
      </c>
      <c r="F27" s="20" t="n">
        <f aca="false">F26/F24</f>
        <v>0.0925324675324675</v>
      </c>
      <c r="G27" s="20" t="n">
        <f aca="false">G26/G24</f>
        <v>0.195238095238095</v>
      </c>
      <c r="H27" s="20" t="n">
        <f aca="false">H26/H24</f>
        <v>0.420731707317073</v>
      </c>
      <c r="I27" s="20" t="n">
        <f aca="false">I26/I24</f>
        <v>0.0451237263464338</v>
      </c>
      <c r="J27" s="12" t="s">
        <v>52</v>
      </c>
    </row>
    <row r="28" customFormat="false" ht="15" hidden="false" customHeight="false" outlineLevel="0" collapsed="false">
      <c r="A28" s="9" t="s">
        <v>94</v>
      </c>
      <c r="B28" s="20" t="n">
        <f aca="false">B25/B24</f>
        <v>0.157039711191336</v>
      </c>
      <c r="C28" s="20" t="n">
        <f aca="false">C25/C24</f>
        <v>0.166666666666667</v>
      </c>
      <c r="D28" s="20" t="n">
        <f aca="false">D25/D24</f>
        <v>0.155322862129145</v>
      </c>
      <c r="E28" s="20" t="n">
        <f aca="false">E25/E24</f>
        <v>0.151565074135091</v>
      </c>
      <c r="F28" s="20" t="n">
        <f aca="false">F25/F24</f>
        <v>0.201298701298701</v>
      </c>
      <c r="G28" s="20" t="n">
        <f aca="false">G25/G24</f>
        <v>0.211111111111111</v>
      </c>
      <c r="H28" s="20" t="n">
        <f aca="false">H25/H24</f>
        <v>0.167682926829268</v>
      </c>
      <c r="I28" s="20" t="n">
        <f aca="false">I25/I24</f>
        <v>0.163027656477438</v>
      </c>
      <c r="J28" s="12" t="s">
        <v>52</v>
      </c>
    </row>
    <row r="29" customFormat="false" ht="15" hidden="false" customHeight="false" outlineLevel="0" collapsed="false">
      <c r="A29" s="9" t="s">
        <v>95</v>
      </c>
      <c r="F29" s="20" t="n">
        <f aca="false">F23/B23-1</f>
        <v>0.10042036431574</v>
      </c>
      <c r="G29" s="20" t="n">
        <f aca="false">G23/C23-1</f>
        <v>0.0837505689576696</v>
      </c>
      <c r="H29" s="20" t="n">
        <f aca="false">H23/D23-1</f>
        <v>0.105730786317192</v>
      </c>
      <c r="I29" s="20" t="n">
        <f aca="false">I23/E23-1</f>
        <v>0.0943800943800943</v>
      </c>
      <c r="J29" s="12" t="s">
        <v>52</v>
      </c>
    </row>
    <row r="31" customFormat="false" ht="15" hidden="false" customHeight="false" outlineLevel="0" collapsed="false">
      <c r="A31" s="7" t="s">
        <v>96</v>
      </c>
      <c r="B31" s="8" t="s">
        <v>34</v>
      </c>
      <c r="C31" s="8" t="s">
        <v>35</v>
      </c>
      <c r="D31" s="8"/>
      <c r="E31" s="8"/>
      <c r="F31" s="8"/>
      <c r="G31" s="8"/>
      <c r="H31" s="8"/>
      <c r="I31" s="8"/>
      <c r="J31" s="8" t="s">
        <v>36</v>
      </c>
      <c r="K31" s="8" t="s">
        <v>97</v>
      </c>
    </row>
    <row r="32" customFormat="false" ht="15" hidden="false" customHeight="false" outlineLevel="0" collapsed="false">
      <c r="A32" s="9" t="s">
        <v>98</v>
      </c>
      <c r="B32" s="17" t="n">
        <f aca="false">SUM(F24:I24)</f>
        <v>258.9</v>
      </c>
      <c r="J32" s="12" t="s">
        <v>52</v>
      </c>
      <c r="K32" s="6" t="s">
        <v>99</v>
      </c>
    </row>
    <row r="33" customFormat="false" ht="15" hidden="false" customHeight="false" outlineLevel="0" collapsed="false">
      <c r="A33" s="9" t="s">
        <v>100</v>
      </c>
      <c r="B33" s="17" t="n">
        <f aca="false">SUM(F25:I25)</f>
        <v>47.9</v>
      </c>
      <c r="J33" s="12" t="s">
        <v>52</v>
      </c>
      <c r="K33" s="6"/>
    </row>
    <row r="34" customFormat="false" ht="15" hidden="false" customHeight="false" outlineLevel="0" collapsed="false">
      <c r="A34" s="9" t="s">
        <v>101</v>
      </c>
      <c r="B34" s="17" t="n">
        <f aca="false">SUM(F26:I26)</f>
        <v>48.7</v>
      </c>
      <c r="J34" s="12" t="s">
        <v>52</v>
      </c>
      <c r="K34" s="6"/>
    </row>
    <row r="35" customFormat="false" ht="15" hidden="false" customHeight="false" outlineLevel="0" collapsed="false">
      <c r="A35" s="9" t="s">
        <v>102</v>
      </c>
      <c r="B35" s="20" t="n">
        <f aca="false">B33/B32</f>
        <v>0.185013518733102</v>
      </c>
      <c r="J35" s="12" t="s">
        <v>52</v>
      </c>
      <c r="K35" s="6" t="s">
        <v>103</v>
      </c>
    </row>
    <row r="36" customFormat="false" ht="15" hidden="false" customHeight="false" outlineLevel="0" collapsed="false">
      <c r="A36" s="9" t="s">
        <v>104</v>
      </c>
      <c r="B36" s="20" t="n">
        <f aca="false">B34/B32</f>
        <v>0.188103514870606</v>
      </c>
      <c r="J36" s="12" t="s">
        <v>52</v>
      </c>
      <c r="K36" s="6" t="s">
        <v>105</v>
      </c>
    </row>
    <row r="37" customFormat="false" ht="15" hidden="false" customHeight="false" outlineLevel="0" collapsed="false">
      <c r="A37" s="9" t="s">
        <v>106</v>
      </c>
      <c r="B37" s="17" t="n">
        <f aca="false">SUM(D25:G25)</f>
        <v>43.8</v>
      </c>
      <c r="J37" s="12" t="s">
        <v>52</v>
      </c>
      <c r="K37" s="6"/>
    </row>
    <row r="38" customFormat="false" ht="15" hidden="false" customHeight="false" outlineLevel="0" collapsed="false">
      <c r="A38" s="9" t="s">
        <v>107</v>
      </c>
      <c r="B38" s="17" t="n">
        <f aca="false">SUM(D26:G26)</f>
        <v>38.4</v>
      </c>
      <c r="J38" s="12" t="s">
        <v>52</v>
      </c>
      <c r="K38" s="6" t="s">
        <v>108</v>
      </c>
    </row>
    <row r="39" customFormat="false" ht="15" hidden="false" customHeight="false" outlineLevel="0" collapsed="false">
      <c r="A39" s="9" t="s">
        <v>109</v>
      </c>
      <c r="B39" s="20" t="n">
        <f aca="false">B38/B37</f>
        <v>0.876712328767124</v>
      </c>
      <c r="J39" s="12" t="s">
        <v>52</v>
      </c>
      <c r="K39" s="6" t="s">
        <v>110</v>
      </c>
    </row>
    <row r="40" customFormat="false" ht="15" hidden="false" customHeight="false" outlineLevel="0" collapsed="false">
      <c r="A40" s="9" t="s">
        <v>111</v>
      </c>
      <c r="B40" s="17" t="n">
        <f aca="false">I23</f>
        <v>255.1</v>
      </c>
      <c r="J40" s="12" t="s">
        <v>52</v>
      </c>
      <c r="K40" s="6" t="s">
        <v>112</v>
      </c>
    </row>
    <row r="41" customFormat="false" ht="15" hidden="false" customHeight="false" outlineLevel="0" collapsed="false">
      <c r="A41" s="9" t="s">
        <v>113</v>
      </c>
      <c r="B41" s="17" t="n">
        <f aca="false">E23</f>
        <v>233.1</v>
      </c>
      <c r="J41" s="12" t="s">
        <v>52</v>
      </c>
      <c r="K41" s="6"/>
    </row>
    <row r="42" customFormat="false" ht="15" hidden="false" customHeight="false" outlineLevel="0" collapsed="false">
      <c r="A42" s="9" t="s">
        <v>114</v>
      </c>
      <c r="B42" s="17" t="n">
        <f aca="false">B40-B41</f>
        <v>22</v>
      </c>
      <c r="J42" s="12" t="s">
        <v>52</v>
      </c>
      <c r="K42" s="6" t="s">
        <v>115</v>
      </c>
    </row>
    <row r="43" customFormat="false" ht="15" hidden="false" customHeight="false" outlineLevel="0" collapsed="false">
      <c r="A43" s="9" t="s">
        <v>116</v>
      </c>
      <c r="B43" s="17" t="n">
        <f aca="false">B42+(1-B17)*B41</f>
        <v>24.331</v>
      </c>
      <c r="J43" s="12" t="s">
        <v>52</v>
      </c>
      <c r="K43" s="6" t="s">
        <v>117</v>
      </c>
    </row>
    <row r="44" customFormat="false" ht="15" hidden="false" customHeight="false" outlineLevel="0" collapsed="false">
      <c r="A44" s="9" t="s">
        <v>118</v>
      </c>
      <c r="B44" s="21" t="n">
        <f aca="false">B32/AVERAGE(B40,B41)</f>
        <v>1.06063088897993</v>
      </c>
      <c r="J44" s="12" t="s">
        <v>52</v>
      </c>
      <c r="K44" s="6" t="s">
        <v>119</v>
      </c>
    </row>
    <row r="45" customFormat="false" ht="15" hidden="false" customHeight="false" outlineLevel="0" collapsed="false">
      <c r="A45" s="9" t="s">
        <v>120</v>
      </c>
      <c r="B45" s="17" t="n">
        <f aca="false">B10/B6+B15</f>
        <v>637.44732139882</v>
      </c>
      <c r="J45" s="12" t="s">
        <v>52</v>
      </c>
      <c r="K45" s="6" t="s">
        <v>121</v>
      </c>
    </row>
    <row r="46" customFormat="false" ht="15" hidden="false" customHeight="false" outlineLevel="0" collapsed="false">
      <c r="A46" s="9" t="s">
        <v>122</v>
      </c>
      <c r="B46" s="22" t="n">
        <f aca="false">B45/B40</f>
        <v>2.4988134903913</v>
      </c>
      <c r="J46" s="12" t="s">
        <v>52</v>
      </c>
      <c r="K46" s="6"/>
    </row>
    <row r="47" customFormat="false" ht="15" hidden="false" customHeight="false" outlineLevel="0" collapsed="false">
      <c r="A47" s="9" t="s">
        <v>123</v>
      </c>
      <c r="B47" s="22" t="n">
        <f aca="false">B45/B34</f>
        <v>13.0892673798526</v>
      </c>
      <c r="J47" s="12" t="s">
        <v>52</v>
      </c>
      <c r="K4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9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5" t="s">
        <v>124</v>
      </c>
    </row>
    <row r="2" customFormat="false" ht="15" hidden="false" customHeight="false" outlineLevel="0" collapsed="false">
      <c r="A2" s="6" t="s">
        <v>125</v>
      </c>
    </row>
    <row r="4" customFormat="false" ht="15" hidden="false" customHeight="false" outlineLevel="0" collapsed="false">
      <c r="A4" s="23" t="s">
        <v>126</v>
      </c>
      <c r="B4" s="23"/>
      <c r="C4" s="23"/>
      <c r="D4" s="23"/>
      <c r="E4" s="23"/>
      <c r="F4" s="23"/>
      <c r="G4" s="23"/>
      <c r="H4" s="24" t="n">
        <f aca="false">Inputs!B5</f>
        <v>33.22</v>
      </c>
    </row>
    <row r="5" customFormat="false" ht="15" hidden="false" customHeight="false" outlineLevel="0" collapsed="false">
      <c r="A5" s="25" t="s">
        <v>127</v>
      </c>
      <c r="B5" s="25"/>
      <c r="C5" s="25"/>
      <c r="D5" s="25"/>
      <c r="E5" s="25"/>
      <c r="F5" s="25"/>
      <c r="G5" s="25"/>
      <c r="H5" s="26" t="n">
        <f aca="false">IF(H4&gt;N30,"above 120%",IF(H4&lt;N170,"below 50%",INDEX($A$30:$A$170,MATCH(H4,$N$30:$N$170,-1))-(INDEX($N$30:$N$170,MATCH(H4,$N$30:$N$170,-1))-H4)/(INDEX($N$30:$N$170,MATCH(H4,$N$30:$N$170,-1))-INDEX($N$30:$N$170,MATCH(H4,$N$30:$N$170,-1)+1))*0.005))</f>
        <v>0.902518223377385</v>
      </c>
    </row>
    <row r="6" customFormat="false" ht="15" hidden="false" customHeight="false" outlineLevel="0" collapsed="false">
      <c r="A6" s="23" t="s">
        <v>128</v>
      </c>
      <c r="B6" s="23"/>
      <c r="C6" s="23"/>
      <c r="D6" s="23"/>
      <c r="E6" s="23"/>
      <c r="F6" s="23"/>
      <c r="G6" s="23"/>
      <c r="H6" s="27" t="n">
        <f aca="false">Inputs!B17</f>
        <v>0.99</v>
      </c>
    </row>
    <row r="7" customFormat="false" ht="15" hidden="false" customHeight="false" outlineLevel="0" collapsed="false">
      <c r="A7" s="25" t="s">
        <v>129</v>
      </c>
      <c r="B7" s="25"/>
      <c r="C7" s="25"/>
      <c r="D7" s="25"/>
      <c r="E7" s="25"/>
      <c r="F7" s="25"/>
      <c r="G7" s="25"/>
      <c r="H7" s="28" t="n">
        <f aca="false">IFERROR(H6-H5,"n/a")</f>
        <v>0.0874817766226147</v>
      </c>
    </row>
    <row r="8" customFormat="false" ht="15" hidden="false" customHeight="false" outlineLevel="0" collapsed="false">
      <c r="A8" s="23" t="s">
        <v>130</v>
      </c>
      <c r="B8" s="23"/>
      <c r="C8" s="23"/>
      <c r="D8" s="23"/>
      <c r="E8" s="23"/>
      <c r="F8" s="23"/>
      <c r="G8" s="23"/>
      <c r="H8" s="29" t="n">
        <f aca="false">IFERROR(1-H5,"n/a")</f>
        <v>0.0974817766226147</v>
      </c>
    </row>
    <row r="9" customFormat="false" ht="15" hidden="false" customHeight="false" outlineLevel="0" collapsed="false">
      <c r="A9" s="23" t="s">
        <v>131</v>
      </c>
      <c r="B9" s="23"/>
      <c r="C9" s="23"/>
      <c r="D9" s="23"/>
      <c r="E9" s="23"/>
      <c r="F9" s="23"/>
      <c r="G9" s="23"/>
      <c r="H9" s="29" t="n">
        <f aca="false">1-H6</f>
        <v>0.01</v>
      </c>
    </row>
    <row r="10" customFormat="false" ht="15" hidden="false" customHeight="false" outlineLevel="0" collapsed="false">
      <c r="A10" s="23" t="s">
        <v>132</v>
      </c>
      <c r="B10" s="23"/>
      <c r="C10" s="23"/>
      <c r="D10" s="23"/>
      <c r="E10" s="23"/>
      <c r="F10" s="23"/>
      <c r="G10" s="23"/>
      <c r="H10" s="30" t="n">
        <f aca="false">N173</f>
        <v>53.5303445478972</v>
      </c>
    </row>
    <row r="11" customFormat="false" ht="15" hidden="false" customHeight="false" outlineLevel="0" collapsed="false">
      <c r="A11" s="23" t="s">
        <v>133</v>
      </c>
      <c r="B11" s="23"/>
      <c r="C11" s="23"/>
      <c r="D11" s="23"/>
      <c r="E11" s="23"/>
      <c r="F11" s="23"/>
      <c r="G11" s="23"/>
      <c r="H11" s="30" t="n">
        <f aca="false">N174</f>
        <v>33.216468583211</v>
      </c>
    </row>
    <row r="13" customFormat="false" ht="48" hidden="false" customHeight="true" outlineLevel="0" collapsed="false">
      <c r="A13" s="31" t="str">
        <f aca="false">IF(ISNUMBER(H5),IF(H5&lt;H6,"PESSIMISTIC: the price only makes sense if existing customers pay about "&amp;TEXT(1-H5,"0%")&amp;" less every year (NRR "&amp;TEXT(H5,"0%")&amp;"). Docebo reports NRR of "&amp;TEXT(H6,"0%")&amp;" - a loss of only "&amp;TEXT(1-H6,"0%")&amp;".","OPTIMISTIC: the price needs NRR of "&amp;TEXT(H5,"0.0%")&amp;" - better than the "&amp;TEXT(H6,"0%")&amp;" Docebo reports."),"Implied NRR is outside 50-120%: check the inputs.")</f>
        <v>PESSIMISTIC: the price only makes sense if existing customers pay about 10% less every year (NRR 90%). Docebo reports NRR of 99% - a loss of only 1%.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5" customFormat="false" ht="15" hidden="false" customHeight="false" outlineLevel="0" collapsed="false">
      <c r="A15" s="6" t="s">
        <v>134</v>
      </c>
    </row>
    <row r="16" customFormat="false" ht="15" hidden="false" customHeight="false" outlineLevel="0" collapsed="false">
      <c r="A16" s="6" t="s">
        <v>135</v>
      </c>
    </row>
    <row r="27" customFormat="false" ht="15" hidden="false" customHeight="false" outlineLevel="0" collapsed="false">
      <c r="A27" s="32" t="s">
        <v>136</v>
      </c>
    </row>
    <row r="29" customFormat="false" ht="15" hidden="false" customHeight="false" outlineLevel="0" collapsed="false">
      <c r="A29" s="7" t="s">
        <v>137</v>
      </c>
      <c r="B29" s="8" t="s">
        <v>138</v>
      </c>
      <c r="C29" s="8" t="s">
        <v>139</v>
      </c>
      <c r="D29" s="8" t="s">
        <v>140</v>
      </c>
      <c r="E29" s="8" t="s">
        <v>141</v>
      </c>
      <c r="F29" s="8" t="s">
        <v>142</v>
      </c>
      <c r="G29" s="8" t="s">
        <v>143</v>
      </c>
      <c r="H29" s="8" t="s">
        <v>144</v>
      </c>
      <c r="I29" s="8" t="s">
        <v>145</v>
      </c>
      <c r="J29" s="8" t="s">
        <v>146</v>
      </c>
      <c r="K29" s="8" t="s">
        <v>147</v>
      </c>
      <c r="L29" s="8" t="s">
        <v>148</v>
      </c>
      <c r="M29" s="8" t="s">
        <v>149</v>
      </c>
      <c r="N29" s="8" t="s">
        <v>150</v>
      </c>
    </row>
    <row r="30" customFormat="false" ht="15" hidden="false" customHeight="false" outlineLevel="0" collapsed="false">
      <c r="A30" s="20" t="n">
        <v>1.2</v>
      </c>
      <c r="B30" s="33" t="n">
        <f aca="false">'ARR Model'!$B$15</f>
        <v>255.1</v>
      </c>
      <c r="C30" s="34" t="n">
        <f aca="false">B30*$A30+'ARR Model'!C$13</f>
        <v>330.451</v>
      </c>
      <c r="D30" s="34" t="n">
        <f aca="false">C30*$A30+'ARR Model'!D$13</f>
        <v>420.8722</v>
      </c>
      <c r="E30" s="34" t="n">
        <f aca="false">D30*$A30+'ARR Model'!E$13</f>
        <v>529.37764</v>
      </c>
      <c r="F30" s="34" t="n">
        <f aca="false">E30*$A30+'ARR Model'!F$13</f>
        <v>659.584168</v>
      </c>
      <c r="G30" s="34" t="n">
        <f aca="false">F30*$A30+'ARR Model'!G$13</f>
        <v>815.8320016</v>
      </c>
      <c r="H30" s="34" t="n">
        <f aca="false">G30*$A30+'ARR Model'!H$13</f>
        <v>1003.32940192</v>
      </c>
      <c r="I30" s="34" t="n">
        <f aca="false">H30*$A30+'ARR Model'!I$13</f>
        <v>1228.326282304</v>
      </c>
      <c r="J30" s="34" t="n">
        <f aca="false">I30*$A30+'ARR Model'!J$13</f>
        <v>1498.3225387648</v>
      </c>
      <c r="K30" s="34" t="n">
        <f aca="false">J30*$A30+'ARR Model'!K$13</f>
        <v>1822.31804651776</v>
      </c>
      <c r="L30" s="34" t="n">
        <f aca="false">K30*$A30+'ARR Model'!L$13</f>
        <v>2211.11265582131</v>
      </c>
      <c r="M30" s="34" t="n">
        <f aca="false">SUMPRODUCT((B30:K30+C30:L30)/2*Inputs!$B$44,'ARR Model'!$C$9:$L$9,DCF!$C$5:$L$5)+AVERAGE(K30,L30)*Inputs!$B$44*'ARR Model'!$L$9*(1+Assumptions!$C$11)/(Assumptions!$C$10-Assumptions!$C$11)*DCF!$L$5</f>
        <v>3480.79215723117</v>
      </c>
      <c r="N30" s="30" t="n">
        <f aca="false">(M30+Inputs!$B$13-Inputs!$B$14)/Inputs!$B$9*Inputs!$B$6</f>
        <v>192.595146855403</v>
      </c>
    </row>
    <row r="31" customFormat="false" ht="15" hidden="false" customHeight="false" outlineLevel="0" collapsed="false">
      <c r="A31" s="20" t="n">
        <v>1.195</v>
      </c>
      <c r="B31" s="33" t="n">
        <f aca="false">'ARR Model'!$B$15</f>
        <v>255.1</v>
      </c>
      <c r="C31" s="34" t="n">
        <f aca="false">B31*$A31+'ARR Model'!C$13</f>
        <v>329.1755</v>
      </c>
      <c r="D31" s="34" t="n">
        <f aca="false">C31*$A31+'ARR Model'!D$13</f>
        <v>417.6957225</v>
      </c>
      <c r="E31" s="34" t="n">
        <f aca="false">D31*$A31+'ARR Model'!E$13</f>
        <v>523.4773883875</v>
      </c>
      <c r="F31" s="34" t="n">
        <f aca="false">E31*$A31+'ARR Model'!F$13</f>
        <v>649.886479123063</v>
      </c>
      <c r="G31" s="34" t="n">
        <f aca="false">F31*$A31+'ARR Model'!G$13</f>
        <v>800.94534255206</v>
      </c>
      <c r="H31" s="34" t="n">
        <f aca="false">G31*$A31+'ARR Model'!H$13</f>
        <v>981.460684349712</v>
      </c>
      <c r="I31" s="34" t="n">
        <f aca="false">H31*$A31+'ARR Model'!I$13</f>
        <v>1197.17651779791</v>
      </c>
      <c r="J31" s="34" t="n">
        <f aca="false">I31*$A31+'ARR Model'!J$13</f>
        <v>1454.9569387685</v>
      </c>
      <c r="K31" s="34" t="n">
        <f aca="false">J31*$A31+'ARR Model'!K$13</f>
        <v>1763.00454182835</v>
      </c>
      <c r="L31" s="34" t="n">
        <f aca="false">K31*$A31+'ARR Model'!L$13</f>
        <v>2131.12142748488</v>
      </c>
      <c r="M31" s="34" t="n">
        <f aca="false">SUMPRODUCT((B31:K31+C31:L31)/2*Inputs!$B$44,'ARR Model'!$C$9:$L$9,DCF!$C$5:$L$5)+AVERAGE(K31,L31)*Inputs!$B$44*'ARR Model'!$L$9*(1+Assumptions!$C$11)/(Assumptions!$C$10-Assumptions!$C$11)*DCF!$L$5</f>
        <v>3374.62832067423</v>
      </c>
      <c r="N31" s="30" t="n">
        <f aca="false">(M31+Inputs!$B$13-Inputs!$B$14)/Inputs!$B$9*Inputs!$B$6</f>
        <v>186.64445215641</v>
      </c>
    </row>
    <row r="32" customFormat="false" ht="15" hidden="false" customHeight="false" outlineLevel="0" collapsed="false">
      <c r="A32" s="20" t="n">
        <v>1.19</v>
      </c>
      <c r="B32" s="33" t="n">
        <f aca="false">'ARR Model'!$B$15</f>
        <v>255.1</v>
      </c>
      <c r="C32" s="34" t="n">
        <f aca="false">B32*$A32+'ARR Model'!C$13</f>
        <v>327.9</v>
      </c>
      <c r="D32" s="34" t="n">
        <f aca="false">C32*$A32+'ARR Model'!D$13</f>
        <v>414.532</v>
      </c>
      <c r="E32" s="34" t="n">
        <f aca="false">D32*$A32+'ARR Model'!E$13</f>
        <v>517.62408</v>
      </c>
      <c r="F32" s="34" t="n">
        <f aca="false">E32*$A32+'ARR Model'!F$13</f>
        <v>640.3036552</v>
      </c>
      <c r="G32" s="34" t="n">
        <f aca="false">F32*$A32+'ARR Model'!G$13</f>
        <v>786.292349688</v>
      </c>
      <c r="H32" s="34" t="n">
        <f aca="false">G32*$A32+'ARR Model'!H$13</f>
        <v>960.01889612872</v>
      </c>
      <c r="I32" s="34" t="n">
        <f aca="false">H32*$A32+'ARR Model'!I$13</f>
        <v>1166.75348639318</v>
      </c>
      <c r="J32" s="34" t="n">
        <f aca="false">I32*$A32+'ARR Model'!J$13</f>
        <v>1412.76764880788</v>
      </c>
      <c r="K32" s="34" t="n">
        <f aca="false">J32*$A32+'ARR Model'!K$13</f>
        <v>1705.52450208138</v>
      </c>
      <c r="L32" s="34" t="n">
        <f aca="false">K32*$A32+'ARR Model'!L$13</f>
        <v>2053.90515747684</v>
      </c>
      <c r="M32" s="34" t="n">
        <f aca="false">SUMPRODUCT((B32:K32+C32:L32)/2*Inputs!$B$44,'ARR Model'!$C$9:$L$9,DCF!$C$5:$L$5)+AVERAGE(K32,L32)*Inputs!$B$44*'ARR Model'!$L$9*(1+Assumptions!$C$11)/(Assumptions!$C$10-Assumptions!$C$11)*DCF!$L$5</f>
        <v>3271.76407236999</v>
      </c>
      <c r="N32" s="30" t="n">
        <f aca="false">(M32+Inputs!$B$13-Inputs!$B$14)/Inputs!$B$9*Inputs!$B$6</f>
        <v>180.878705957406</v>
      </c>
    </row>
    <row r="33" customFormat="false" ht="15" hidden="false" customHeight="false" outlineLevel="0" collapsed="false">
      <c r="A33" s="20" t="n">
        <v>1.185</v>
      </c>
      <c r="B33" s="33" t="n">
        <f aca="false">'ARR Model'!$B$15</f>
        <v>255.1</v>
      </c>
      <c r="C33" s="34" t="n">
        <f aca="false">B33*$A33+'ARR Model'!C$13</f>
        <v>326.6245</v>
      </c>
      <c r="D33" s="34" t="n">
        <f aca="false">C33*$A33+'ARR Model'!D$13</f>
        <v>411.3810325</v>
      </c>
      <c r="E33" s="34" t="n">
        <f aca="false">D33*$A33+'ARR Model'!E$13</f>
        <v>511.8175235125</v>
      </c>
      <c r="F33" s="34" t="n">
        <f aca="false">E33*$A33+'ARR Model'!F$13</f>
        <v>630.834765362313</v>
      </c>
      <c r="G33" s="34" t="n">
        <f aca="false">F33*$A33+'ARR Model'!G$13</f>
        <v>771.870196954341</v>
      </c>
      <c r="H33" s="34" t="n">
        <f aca="false">G33*$A33+'ARR Model'!H$13</f>
        <v>938.997183390894</v>
      </c>
      <c r="I33" s="34" t="n">
        <f aca="false">H33*$A33+'ARR Model'!I$13</f>
        <v>1137.04266231821</v>
      </c>
      <c r="J33" s="34" t="n">
        <f aca="false">I33*$A33+'ARR Model'!J$13</f>
        <v>1371.72655484708</v>
      </c>
      <c r="K33" s="34" t="n">
        <f aca="false">J33*$A33+'ARR Model'!K$13</f>
        <v>1649.82696749379</v>
      </c>
      <c r="L33" s="34" t="n">
        <f aca="false">K33*$A33+'ARR Model'!L$13</f>
        <v>1979.37595648014</v>
      </c>
      <c r="M33" s="34" t="n">
        <f aca="false">SUMPRODUCT((B33:K33+C33:L33)/2*Inputs!$B$44,'ARR Model'!$C$9:$L$9,DCF!$C$5:$L$5)+AVERAGE(K33,L33)*Inputs!$B$44*'ARR Model'!$L$9*(1+Assumptions!$C$11)/(Assumptions!$C$10-Assumptions!$C$11)*DCF!$L$5</f>
        <v>3172.10364564794</v>
      </c>
      <c r="N33" s="30" t="n">
        <f aca="false">(M33+Inputs!$B$13-Inputs!$B$14)/Inputs!$B$9*Inputs!$B$6</f>
        <v>175.292540345577</v>
      </c>
    </row>
    <row r="34" customFormat="false" ht="15" hidden="false" customHeight="false" outlineLevel="0" collapsed="false">
      <c r="A34" s="20" t="n">
        <v>1.18</v>
      </c>
      <c r="B34" s="33" t="n">
        <f aca="false">'ARR Model'!$B$15</f>
        <v>255.1</v>
      </c>
      <c r="C34" s="34" t="n">
        <f aca="false">B34*$A34+'ARR Model'!C$13</f>
        <v>325.349</v>
      </c>
      <c r="D34" s="34" t="n">
        <f aca="false">C34*$A34+'ARR Model'!D$13</f>
        <v>408.24282</v>
      </c>
      <c r="E34" s="34" t="n">
        <f aca="false">D34*$A34+'ARR Model'!E$13</f>
        <v>506.0575276</v>
      </c>
      <c r="F34" s="34" t="n">
        <f aca="false">E34*$A34+'ARR Model'!F$13</f>
        <v>621.478882568</v>
      </c>
      <c r="G34" s="34" t="n">
        <f aca="false">F34*$A34+'ARR Model'!G$13</f>
        <v>757.67608143024</v>
      </c>
      <c r="H34" s="34" t="n">
        <f aca="false">G34*$A34+'ARR Model'!H$13</f>
        <v>918.388776087683</v>
      </c>
      <c r="I34" s="34" t="n">
        <f aca="false">H34*$A34+'ARR Model'!I$13</f>
        <v>1108.02975578347</v>
      </c>
      <c r="J34" s="34" t="n">
        <f aca="false">I34*$A34+'ARR Model'!J$13</f>
        <v>1331.80611182449</v>
      </c>
      <c r="K34" s="34" t="n">
        <f aca="false">J34*$A34+'ARR Model'!K$13</f>
        <v>1595.8622119529</v>
      </c>
      <c r="L34" s="34" t="n">
        <f aca="false">K34*$A34+'ARR Model'!L$13</f>
        <v>1907.44841010442</v>
      </c>
      <c r="M34" s="34" t="n">
        <f aca="false">SUMPRODUCT((B34:K34+C34:L34)/2*Inputs!$B$44,'ARR Model'!$C$9:$L$9,DCF!$C$5:$L$5)+AVERAGE(K34,L34)*Inputs!$B$44*'ARR Model'!$L$9*(1+Assumptions!$C$11)/(Assumptions!$C$10-Assumptions!$C$11)*DCF!$L$5</f>
        <v>3075.55376825829</v>
      </c>
      <c r="N34" s="30" t="n">
        <f aca="false">(M34+Inputs!$B$13-Inputs!$B$14)/Inputs!$B$9*Inputs!$B$6</f>
        <v>169.880727225364</v>
      </c>
    </row>
    <row r="35" customFormat="false" ht="15" hidden="false" customHeight="false" outlineLevel="0" collapsed="false">
      <c r="A35" s="20" t="n">
        <v>1.175</v>
      </c>
      <c r="B35" s="33" t="n">
        <f aca="false">'ARR Model'!$B$15</f>
        <v>255.1</v>
      </c>
      <c r="C35" s="34" t="n">
        <f aca="false">B35*$A35+'ARR Model'!C$13</f>
        <v>324.0735</v>
      </c>
      <c r="D35" s="34" t="n">
        <f aca="false">C35*$A35+'ARR Model'!D$13</f>
        <v>405.1173625</v>
      </c>
      <c r="E35" s="34" t="n">
        <f aca="false">D35*$A35+'ARR Model'!E$13</f>
        <v>500.3439009375</v>
      </c>
      <c r="F35" s="34" t="n">
        <f aca="false">E35*$A35+'ARR Model'!F$13</f>
        <v>612.235083601563</v>
      </c>
      <c r="G35" s="34" t="n">
        <f aca="false">F35*$A35+'ARR Model'!G$13</f>
        <v>743.707223231836</v>
      </c>
      <c r="H35" s="34" t="n">
        <f aca="false">G35*$A35+'ARR Model'!H$13</f>
        <v>898.186987297408</v>
      </c>
      <c r="I35" s="34" t="n">
        <f aca="false">H35*$A35+'ARR Model'!I$13</f>
        <v>1079.70071007445</v>
      </c>
      <c r="J35" s="34" t="n">
        <f aca="false">I35*$A35+'ARR Model'!J$13</f>
        <v>1292.97933433748</v>
      </c>
      <c r="K35" s="34" t="n">
        <f aca="false">J35*$A35+'ARR Model'!K$13</f>
        <v>1543.58171784654</v>
      </c>
      <c r="L35" s="34" t="n">
        <f aca="false">K35*$A35+'ARR Model'!L$13</f>
        <v>1838.03951846969</v>
      </c>
      <c r="M35" s="34" t="n">
        <f aca="false">SUMPRODUCT((B35:K35+C35:L35)/2*Inputs!$B$44,'ARR Model'!$C$9:$L$9,DCF!$C$5:$L$5)+AVERAGE(K35,L35)*Inputs!$B$44*'ARR Model'!$L$9*(1+Assumptions!$C$11)/(Assumptions!$C$10-Assumptions!$C$11)*DCF!$L$5</f>
        <v>2982.02360583959</v>
      </c>
      <c r="N35" s="30" t="n">
        <f aca="false">(M35+Inputs!$B$13-Inputs!$B$14)/Inputs!$B$9*Inputs!$B$6</f>
        <v>164.638175149711</v>
      </c>
    </row>
    <row r="36" customFormat="false" ht="15" hidden="false" customHeight="false" outlineLevel="0" collapsed="false">
      <c r="A36" s="20" t="n">
        <v>1.17</v>
      </c>
      <c r="B36" s="33" t="n">
        <f aca="false">'ARR Model'!$B$15</f>
        <v>255.1</v>
      </c>
      <c r="C36" s="34" t="n">
        <f aca="false">B36*$A36+'ARR Model'!C$13</f>
        <v>322.798</v>
      </c>
      <c r="D36" s="34" t="n">
        <f aca="false">C36*$A36+'ARR Model'!D$13</f>
        <v>402.00466</v>
      </c>
      <c r="E36" s="34" t="n">
        <f aca="false">D36*$A36+'ARR Model'!E$13</f>
        <v>494.6764522</v>
      </c>
      <c r="F36" s="34" t="n">
        <f aca="false">E36*$A36+'ARR Model'!F$13</f>
        <v>603.102449074</v>
      </c>
      <c r="G36" s="34" t="n">
        <f aca="false">F36*$A36+'ARR Model'!G$13</f>
        <v>729.96086541658</v>
      </c>
      <c r="H36" s="34" t="n">
        <f aca="false">G36*$A36+'ARR Model'!H$13</f>
        <v>878.385212537399</v>
      </c>
      <c r="I36" s="34" t="n">
        <f aca="false">H36*$A36+'ARR Model'!I$13</f>
        <v>1052.04169866876</v>
      </c>
      <c r="J36" s="34" t="n">
        <f aca="false">I36*$A36+'ARR Model'!J$13</f>
        <v>1255.21978744244</v>
      </c>
      <c r="K36" s="34" t="n">
        <f aca="false">J36*$A36+'ARR Model'!K$13</f>
        <v>1492.93815130766</v>
      </c>
      <c r="L36" s="34" t="n">
        <f aca="false">K36*$A36+'ARR Model'!L$13</f>
        <v>1771.06863702996</v>
      </c>
      <c r="M36" s="34" t="n">
        <f aca="false">SUMPRODUCT((B36:K36+C36:L36)/2*Inputs!$B$44,'ARR Model'!$C$9:$L$9,DCF!$C$5:$L$5)+AVERAGE(K36,L36)*Inputs!$B$44*'ARR Model'!$L$9*(1+Assumptions!$C$11)/(Assumptions!$C$10-Assumptions!$C$11)*DCF!$L$5</f>
        <v>2891.4247064642</v>
      </c>
      <c r="N36" s="30" t="n">
        <f aca="false">(M36+Inputs!$B$13-Inputs!$B$14)/Inputs!$B$9*Inputs!$B$6</f>
        <v>159.559926211726</v>
      </c>
    </row>
    <row r="37" customFormat="false" ht="15" hidden="false" customHeight="false" outlineLevel="0" collapsed="false">
      <c r="A37" s="20" t="n">
        <v>1.165</v>
      </c>
      <c r="B37" s="33" t="n">
        <f aca="false">'ARR Model'!$B$15</f>
        <v>255.1</v>
      </c>
      <c r="C37" s="34" t="n">
        <f aca="false">B37*$A37+'ARR Model'!C$13</f>
        <v>321.5225</v>
      </c>
      <c r="D37" s="34" t="n">
        <f aca="false">C37*$A37+'ARR Model'!D$13</f>
        <v>398.9047125</v>
      </c>
      <c r="E37" s="34" t="n">
        <f aca="false">D37*$A37+'ARR Model'!E$13</f>
        <v>489.0549900625</v>
      </c>
      <c r="F37" s="34" t="n">
        <f aca="false">E37*$A37+'ARR Model'!F$13</f>
        <v>594.080063422813</v>
      </c>
      <c r="G37" s="34" t="n">
        <f aca="false">F37*$A37+'ARR Model'!G$13</f>
        <v>716.434273887577</v>
      </c>
      <c r="H37" s="34" t="n">
        <f aca="false">G37*$A37+'ARR Model'!H$13</f>
        <v>858.976929079027</v>
      </c>
      <c r="I37" s="34" t="n">
        <f aca="false">H37*$A37+'ARR Model'!I$13</f>
        <v>1025.03912237707</v>
      </c>
      <c r="J37" s="34" t="n">
        <f aca="false">I37*$A37+'ARR Model'!J$13</f>
        <v>1218.50157756928</v>
      </c>
      <c r="K37" s="34" t="n">
        <f aca="false">J37*$A37+'ARR Model'!K$13</f>
        <v>1443.88533786821</v>
      </c>
      <c r="L37" s="34" t="n">
        <f aca="false">K37*$A37+'ARR Model'!L$13</f>
        <v>1706.45741861647</v>
      </c>
      <c r="M37" s="34" t="n">
        <f aca="false">SUMPRODUCT((B37:K37+C37:L37)/2*Inputs!$B$44,'ARR Model'!$C$9:$L$9,DCF!$C$5:$L$5)+AVERAGE(K37,L37)*Inputs!$B$44*'ARR Model'!$L$9*(1+Assumptions!$C$11)/(Assumptions!$C$10-Assumptions!$C$11)*DCF!$L$5</f>
        <v>2803.67094624525</v>
      </c>
      <c r="N37" s="30" t="n">
        <f aca="false">(M37+Inputs!$B$13-Inputs!$B$14)/Inputs!$B$9*Inputs!$B$6</f>
        <v>154.641152995844</v>
      </c>
    </row>
    <row r="38" customFormat="false" ht="15" hidden="false" customHeight="false" outlineLevel="0" collapsed="false">
      <c r="A38" s="20" t="n">
        <v>1.16</v>
      </c>
      <c r="B38" s="33" t="n">
        <f aca="false">'ARR Model'!$B$15</f>
        <v>255.1</v>
      </c>
      <c r="C38" s="34" t="n">
        <f aca="false">B38*$A38+'ARR Model'!C$13</f>
        <v>320.247</v>
      </c>
      <c r="D38" s="34" t="n">
        <f aca="false">C38*$A38+'ARR Model'!D$13</f>
        <v>395.81752</v>
      </c>
      <c r="E38" s="34" t="n">
        <f aca="false">D38*$A38+'ARR Model'!E$13</f>
        <v>483.4793232</v>
      </c>
      <c r="F38" s="34" t="n">
        <f aca="false">E38*$A38+'ARR Model'!F$13</f>
        <v>585.167014912</v>
      </c>
      <c r="G38" s="34" t="n">
        <f aca="false">F38*$A38+'ARR Model'!G$13</f>
        <v>703.12473729792</v>
      </c>
      <c r="H38" s="34" t="n">
        <f aca="false">G38*$A38+'ARR Model'!H$13</f>
        <v>839.955695265587</v>
      </c>
      <c r="I38" s="34" t="n">
        <f aca="false">H38*$A38+'ARR Model'!I$13</f>
        <v>998.679606508081</v>
      </c>
      <c r="J38" s="34" t="n">
        <f aca="false">I38*$A38+'ARR Model'!J$13</f>
        <v>1182.79934354937</v>
      </c>
      <c r="K38" s="34" t="n">
        <f aca="false">J38*$A38+'ARR Model'!K$13</f>
        <v>1396.37823851727</v>
      </c>
      <c r="L38" s="34" t="n">
        <f aca="false">K38*$A38+'ARR Model'!L$13</f>
        <v>1644.12975668004</v>
      </c>
      <c r="M38" s="34" t="n">
        <f aca="false">SUMPRODUCT((B38:K38+C38:L38)/2*Inputs!$B$44,'ARR Model'!$C$9:$L$9,DCF!$C$5:$L$5)+AVERAGE(K38,L38)*Inputs!$B$44*'ARR Model'!$L$9*(1+Assumptions!$C$11)/(Assumptions!$C$10-Assumptions!$C$11)*DCF!$L$5</f>
        <v>2718.67847598861</v>
      </c>
      <c r="N38" s="30" t="n">
        <f aca="false">(M38+Inputs!$B$13-Inputs!$B$14)/Inputs!$B$9*Inputs!$B$6</f>
        <v>149.877155587563</v>
      </c>
    </row>
    <row r="39" customFormat="false" ht="15" hidden="false" customHeight="false" outlineLevel="0" collapsed="false">
      <c r="A39" s="20" t="n">
        <v>1.155</v>
      </c>
      <c r="B39" s="33" t="n">
        <f aca="false">'ARR Model'!$B$15</f>
        <v>255.1</v>
      </c>
      <c r="C39" s="34" t="n">
        <f aca="false">B39*$A39+'ARR Model'!C$13</f>
        <v>318.9715</v>
      </c>
      <c r="D39" s="34" t="n">
        <f aca="false">C39*$A39+'ARR Model'!D$13</f>
        <v>392.7430825</v>
      </c>
      <c r="E39" s="34" t="n">
        <f aca="false">D39*$A39+'ARR Model'!E$13</f>
        <v>477.9492602875</v>
      </c>
      <c r="F39" s="34" t="n">
        <f aca="false">E39*$A39+'ARR Model'!F$13</f>
        <v>576.362395632063</v>
      </c>
      <c r="G39" s="34" t="n">
        <f aca="false">F39*$A39+'ARR Model'!G$13</f>
        <v>690.029566955032</v>
      </c>
      <c r="H39" s="34" t="n">
        <f aca="false">G39*$A39+'ARR Model'!H$13</f>
        <v>821.315149833062</v>
      </c>
      <c r="I39" s="34" t="n">
        <f aca="false">H39*$A39+'ARR Model'!I$13</f>
        <v>972.949998057187</v>
      </c>
      <c r="J39" s="34" t="n">
        <f aca="false">I39*$A39+'ARR Model'!J$13</f>
        <v>1148.08824775605</v>
      </c>
      <c r="K39" s="34" t="n">
        <f aca="false">J39*$A39+'ARR Model'!K$13</f>
        <v>1350.37292615824</v>
      </c>
      <c r="L39" s="34" t="n">
        <f aca="false">K39*$A39+'ARR Model'!L$13</f>
        <v>1584.01172971277</v>
      </c>
      <c r="M39" s="34" t="n">
        <f aca="false">SUMPRODUCT((B39:K39+C39:L39)/2*Inputs!$B$44,'ARR Model'!$C$9:$L$9,DCF!$C$5:$L$5)+AVERAGE(K39,L39)*Inputs!$B$44*'ARR Model'!$L$9*(1+Assumptions!$C$11)/(Assumptions!$C$10-Assumptions!$C$11)*DCF!$L$5</f>
        <v>2636.36566887388</v>
      </c>
      <c r="N39" s="30" t="n">
        <f aca="false">(M39+Inputs!$B$13-Inputs!$B$14)/Inputs!$B$9*Inputs!$B$6</f>
        <v>145.263358640858</v>
      </c>
    </row>
    <row r="40" customFormat="false" ht="15" hidden="false" customHeight="false" outlineLevel="0" collapsed="false">
      <c r="A40" s="20" t="n">
        <v>1.15</v>
      </c>
      <c r="B40" s="33" t="n">
        <f aca="false">'ARR Model'!$B$15</f>
        <v>255.1</v>
      </c>
      <c r="C40" s="34" t="n">
        <f aca="false">B40*$A40+'ARR Model'!C$13</f>
        <v>317.696</v>
      </c>
      <c r="D40" s="34" t="n">
        <f aca="false">C40*$A40+'ARR Model'!D$13</f>
        <v>389.6814</v>
      </c>
      <c r="E40" s="34" t="n">
        <f aca="false">D40*$A40+'ARR Model'!E$13</f>
        <v>472.46461</v>
      </c>
      <c r="F40" s="34" t="n">
        <f aca="false">E40*$A40+'ARR Model'!F$13</f>
        <v>567.6653015</v>
      </c>
      <c r="G40" s="34" t="n">
        <f aca="false">F40*$A40+'ARR Model'!G$13</f>
        <v>677.146096725</v>
      </c>
      <c r="H40" s="34" t="n">
        <f aca="false">G40*$A40+'ARR Model'!H$13</f>
        <v>803.04901123375</v>
      </c>
      <c r="I40" s="34" t="n">
        <f aca="false">H40*$A40+'ARR Model'!I$13</f>
        <v>947.837362918812</v>
      </c>
      <c r="J40" s="34" t="n">
        <f aca="false">I40*$A40+'ARR Model'!J$13</f>
        <v>1114.34396735663</v>
      </c>
      <c r="K40" s="34" t="n">
        <f aca="false">J40*$A40+'ARR Model'!K$13</f>
        <v>1305.82656246013</v>
      </c>
      <c r="L40" s="34" t="n">
        <f aca="false">K40*$A40+'ARR Model'!L$13</f>
        <v>1526.03154682915</v>
      </c>
      <c r="M40" s="34" t="n">
        <f aca="false">SUMPRODUCT((B40:K40+C40:L40)/2*Inputs!$B$44,'ARR Model'!$C$9:$L$9,DCF!$C$5:$L$5)+AVERAGE(K40,L40)*Inputs!$B$44*'ARR Model'!$L$9*(1+Assumptions!$C$11)/(Assumptions!$C$10-Assumptions!$C$11)*DCF!$L$5</f>
        <v>2556.65306914816</v>
      </c>
      <c r="N40" s="30" t="n">
        <f aca="false">(M40+Inputs!$B$13-Inputs!$B$14)/Inputs!$B$9*Inputs!$B$6</f>
        <v>140.79530850237</v>
      </c>
    </row>
    <row r="41" customFormat="false" ht="15" hidden="false" customHeight="false" outlineLevel="0" collapsed="false">
      <c r="A41" s="20" t="n">
        <v>1.145</v>
      </c>
      <c r="B41" s="33" t="n">
        <f aca="false">'ARR Model'!$B$15</f>
        <v>255.1</v>
      </c>
      <c r="C41" s="34" t="n">
        <f aca="false">B41*$A41+'ARR Model'!C$13</f>
        <v>316.4205</v>
      </c>
      <c r="D41" s="34" t="n">
        <f aca="false">C41*$A41+'ARR Model'!D$13</f>
        <v>386.6324725</v>
      </c>
      <c r="E41" s="34" t="n">
        <f aca="false">D41*$A41+'ARR Model'!E$13</f>
        <v>467.0251810125</v>
      </c>
      <c r="F41" s="34" t="n">
        <f aca="false">E41*$A41+'ARR Model'!F$13</f>
        <v>559.074832259313</v>
      </c>
      <c r="G41" s="34" t="n">
        <f aca="false">F41*$A41+'ARR Model'!G$13</f>
        <v>664.471682936913</v>
      </c>
      <c r="H41" s="34" t="n">
        <f aca="false">G41*$A41+'ARR Model'!H$13</f>
        <v>785.151076962765</v>
      </c>
      <c r="I41" s="34" t="n">
        <f aca="false">H41*$A41+'ARR Model'!I$13</f>
        <v>923.328983122366</v>
      </c>
      <c r="J41" s="34" t="n">
        <f aca="false">I41*$A41+'ARR Model'!J$13</f>
        <v>1081.54268567511</v>
      </c>
      <c r="K41" s="34" t="n">
        <f aca="false">J41*$A41+'ARR Model'!K$13</f>
        <v>1262.697375098</v>
      </c>
      <c r="L41" s="34" t="n">
        <f aca="false">K41*$A41+'ARR Model'!L$13</f>
        <v>1470.11949448721</v>
      </c>
      <c r="M41" s="34" t="n">
        <f aca="false">SUMPRODUCT((B41:K41+C41:L41)/2*Inputs!$B$44,'ARR Model'!$C$9:$L$9,DCF!$C$5:$L$5)+AVERAGE(K41,L41)*Inputs!$B$44*'ARR Model'!$L$9*(1+Assumptions!$C$11)/(Assumptions!$C$10-Assumptions!$C$11)*DCF!$L$5</f>
        <v>2479.4633418171</v>
      </c>
      <c r="N41" s="30" t="n">
        <f aca="false">(M41+Inputs!$B$13-Inputs!$B$14)/Inputs!$B$9*Inputs!$B$6</f>
        <v>136.468670391479</v>
      </c>
    </row>
    <row r="42" customFormat="false" ht="15" hidden="false" customHeight="false" outlineLevel="0" collapsed="false">
      <c r="A42" s="20" t="n">
        <v>1.14</v>
      </c>
      <c r="B42" s="33" t="n">
        <f aca="false">'ARR Model'!$B$15</f>
        <v>255.1</v>
      </c>
      <c r="C42" s="34" t="n">
        <f aca="false">B42*$A42+'ARR Model'!C$13</f>
        <v>315.145</v>
      </c>
      <c r="D42" s="34" t="n">
        <f aca="false">C42*$A42+'ARR Model'!D$13</f>
        <v>383.5963</v>
      </c>
      <c r="E42" s="34" t="n">
        <f aca="false">D42*$A42+'ARR Model'!E$13</f>
        <v>461.630782</v>
      </c>
      <c r="F42" s="34" t="n">
        <f aca="false">E42*$A42+'ARR Model'!F$13</f>
        <v>550.59009148</v>
      </c>
      <c r="G42" s="34" t="n">
        <f aca="false">F42*$A42+'ARR Model'!G$13</f>
        <v>652.0037042872</v>
      </c>
      <c r="H42" s="34" t="n">
        <f aca="false">G42*$A42+'ARR Model'!H$13</f>
        <v>767.615222887408</v>
      </c>
      <c r="I42" s="34" t="n">
        <f aca="false">H42*$A42+'ARR Model'!I$13</f>
        <v>899.412354091645</v>
      </c>
      <c r="J42" s="34" t="n">
        <f aca="false">I42*$A42+'ARR Model'!J$13</f>
        <v>1049.66108366448</v>
      </c>
      <c r="K42" s="34" t="n">
        <f aca="false">J42*$A42+'ARR Model'!K$13</f>
        <v>1220.9446353775</v>
      </c>
      <c r="L42" s="34" t="n">
        <f aca="false">K42*$A42+'ARR Model'!L$13</f>
        <v>1416.20788433035</v>
      </c>
      <c r="M42" s="34" t="n">
        <f aca="false">SUMPRODUCT((B42:K42+C42:L42)/2*Inputs!$B$44,'ARR Model'!$C$9:$L$9,DCF!$C$5:$L$5)+AVERAGE(K42,L42)*Inputs!$B$44*'ARR Model'!$L$9*(1+Assumptions!$C$11)/(Assumptions!$C$10-Assumptions!$C$11)*DCF!$L$5</f>
        <v>2404.72122331736</v>
      </c>
      <c r="N42" s="30" t="n">
        <f aca="false">(M42+Inputs!$B$13-Inputs!$B$14)/Inputs!$B$9*Inputs!$B$6</f>
        <v>132.279225635408</v>
      </c>
    </row>
    <row r="43" customFormat="false" ht="15" hidden="false" customHeight="false" outlineLevel="0" collapsed="false">
      <c r="A43" s="20" t="n">
        <v>1.135</v>
      </c>
      <c r="B43" s="33" t="n">
        <f aca="false">'ARR Model'!$B$15</f>
        <v>255.1</v>
      </c>
      <c r="C43" s="34" t="n">
        <f aca="false">B43*$A43+'ARR Model'!C$13</f>
        <v>313.8695</v>
      </c>
      <c r="D43" s="34" t="n">
        <f aca="false">C43*$A43+'ARR Model'!D$13</f>
        <v>380.5728825</v>
      </c>
      <c r="E43" s="34" t="n">
        <f aca="false">D43*$A43+'ARR Model'!E$13</f>
        <v>456.2812216375</v>
      </c>
      <c r="F43" s="34" t="n">
        <f aca="false">E43*$A43+'ARR Model'!F$13</f>
        <v>542.210186558563</v>
      </c>
      <c r="G43" s="34" t="n">
        <f aca="false">F43*$A43+'ARR Model'!G$13</f>
        <v>639.739561743969</v>
      </c>
      <c r="H43" s="34" t="n">
        <f aca="false">G43*$A43+'ARR Model'!H$13</f>
        <v>750.435402579405</v>
      </c>
      <c r="I43" s="34" t="n">
        <f aca="false">H43*$A43+'ARR Model'!I$13</f>
        <v>876.075181927624</v>
      </c>
      <c r="J43" s="34" t="n">
        <f aca="false">I43*$A43+'ARR Model'!J$13</f>
        <v>1018.67633148785</v>
      </c>
      <c r="K43" s="34" t="n">
        <f aca="false">J43*$A43+'ARR Model'!K$13</f>
        <v>1180.52863623871</v>
      </c>
      <c r="L43" s="34" t="n">
        <f aca="false">K43*$A43+'ARR Model'!L$13</f>
        <v>1364.23100213094</v>
      </c>
      <c r="M43" s="34" t="n">
        <f aca="false">SUMPRODUCT((B43:K43+C43:L43)/2*Inputs!$B$44,'ARR Model'!$C$9:$L$9,DCF!$C$5:$L$5)+AVERAGE(K43,L43)*Inputs!$B$44*'ARR Model'!$L$9*(1+Assumptions!$C$11)/(Assumptions!$C$10-Assumptions!$C$11)*DCF!$L$5</f>
        <v>2332.35347315523</v>
      </c>
      <c r="N43" s="30" t="n">
        <f aca="false">(M43+Inputs!$B$13-Inputs!$B$14)/Inputs!$B$9*Inputs!$B$6</f>
        <v>128.222868958463</v>
      </c>
    </row>
    <row r="44" customFormat="false" ht="15" hidden="false" customHeight="false" outlineLevel="0" collapsed="false">
      <c r="A44" s="20" t="n">
        <v>1.13</v>
      </c>
      <c r="B44" s="33" t="n">
        <f aca="false">'ARR Model'!$B$15</f>
        <v>255.1</v>
      </c>
      <c r="C44" s="34" t="n">
        <f aca="false">B44*$A44+'ARR Model'!C$13</f>
        <v>312.594</v>
      </c>
      <c r="D44" s="34" t="n">
        <f aca="false">C44*$A44+'ARR Model'!D$13</f>
        <v>377.56222</v>
      </c>
      <c r="E44" s="34" t="n">
        <f aca="false">D44*$A44+'ARR Model'!E$13</f>
        <v>450.9763086</v>
      </c>
      <c r="F44" s="34" t="n">
        <f aca="false">E44*$A44+'ARR Model'!F$13</f>
        <v>533.934228718</v>
      </c>
      <c r="G44" s="34" t="n">
        <f aca="false">F44*$A44+'ARR Model'!G$13</f>
        <v>627.67667845134</v>
      </c>
      <c r="H44" s="34" t="n">
        <f aca="false">G44*$A44+'ARR Model'!H$13</f>
        <v>733.605646650014</v>
      </c>
      <c r="I44" s="34" t="n">
        <f aca="false">H44*$A44+'ARR Model'!I$13</f>
        <v>853.305380714516</v>
      </c>
      <c r="J44" s="34" t="n">
        <f aca="false">I44*$A44+'ARR Model'!J$13</f>
        <v>988.566080207403</v>
      </c>
      <c r="K44" s="34" t="n">
        <f aca="false">J44*$A44+'ARR Model'!K$13</f>
        <v>1141.41067063436</v>
      </c>
      <c r="L44" s="34" t="n">
        <f aca="false">K44*$A44+'ARR Model'!L$13</f>
        <v>1314.12505781683</v>
      </c>
      <c r="M44" s="34" t="n">
        <f aca="false">SUMPRODUCT((B44:K44+C44:L44)/2*Inputs!$B$44,'ARR Model'!$C$9:$L$9,DCF!$C$5:$L$5)+AVERAGE(K44,L44)*Inputs!$B$44*'ARR Model'!$L$9*(1+Assumptions!$C$11)/(Assumptions!$C$10-Assumptions!$C$11)*DCF!$L$5</f>
        <v>2262.28882649617</v>
      </c>
      <c r="N44" s="30" t="n">
        <f aca="false">(M44+Inputs!$B$13-Inputs!$B$14)/Inputs!$B$9*Inputs!$B$6</f>
        <v>124.295605824588</v>
      </c>
    </row>
    <row r="45" customFormat="false" ht="15" hidden="false" customHeight="false" outlineLevel="0" collapsed="false">
      <c r="A45" s="20" t="n">
        <v>1.125</v>
      </c>
      <c r="B45" s="33" t="n">
        <f aca="false">'ARR Model'!$B$15</f>
        <v>255.1</v>
      </c>
      <c r="C45" s="34" t="n">
        <f aca="false">B45*$A45+'ARR Model'!C$13</f>
        <v>311.3185</v>
      </c>
      <c r="D45" s="34" t="n">
        <f aca="false">C45*$A45+'ARR Model'!D$13</f>
        <v>374.5643125</v>
      </c>
      <c r="E45" s="34" t="n">
        <f aca="false">D45*$A45+'ARR Model'!E$13</f>
        <v>445.7158515625</v>
      </c>
      <c r="F45" s="34" t="n">
        <f aca="false">E45*$A45+'ARR Model'!F$13</f>
        <v>525.761333007813</v>
      </c>
      <c r="G45" s="34" t="n">
        <f aca="false">F45*$A45+'ARR Model'!G$13</f>
        <v>615.812499633789</v>
      </c>
      <c r="H45" s="34" t="n">
        <f aca="false">G45*$A45+'ARR Model'!H$13</f>
        <v>717.120062088013</v>
      </c>
      <c r="I45" s="34" t="n">
        <f aca="false">H45*$A45+'ARR Model'!I$13</f>
        <v>831.091069849015</v>
      </c>
      <c r="J45" s="34" t="n">
        <f aca="false">I45*$A45+'ARR Model'!J$13</f>
        <v>959.308453580141</v>
      </c>
      <c r="K45" s="34" t="n">
        <f aca="false">J45*$A45+'ARR Model'!K$13</f>
        <v>1103.55301027766</v>
      </c>
      <c r="L45" s="34" t="n">
        <f aca="false">K45*$A45+'ARR Model'!L$13</f>
        <v>1265.82813656237</v>
      </c>
      <c r="M45" s="34" t="n">
        <f aca="false">SUMPRODUCT((B45:K45+C45:L45)/2*Inputs!$B$44,'ARR Model'!$C$9:$L$9,DCF!$C$5:$L$5)+AVERAGE(K45,L45)*Inputs!$B$44*'ARR Model'!$L$9*(1+Assumptions!$C$11)/(Assumptions!$C$10-Assumptions!$C$11)*DCF!$L$5</f>
        <v>2194.45794769004</v>
      </c>
      <c r="N45" s="30" t="n">
        <f aca="false">(M45+Inputs!$B$13-Inputs!$B$14)/Inputs!$B$9*Inputs!$B$6</f>
        <v>120.493549832356</v>
      </c>
    </row>
    <row r="46" customFormat="false" ht="15" hidden="false" customHeight="false" outlineLevel="0" collapsed="false">
      <c r="A46" s="20" t="n">
        <v>1.12</v>
      </c>
      <c r="B46" s="33" t="n">
        <f aca="false">'ARR Model'!$B$15</f>
        <v>255.1</v>
      </c>
      <c r="C46" s="34" t="n">
        <f aca="false">B46*$A46+'ARR Model'!C$13</f>
        <v>310.043</v>
      </c>
      <c r="D46" s="34" t="n">
        <f aca="false">C46*$A46+'ARR Model'!D$13</f>
        <v>371.57916</v>
      </c>
      <c r="E46" s="34" t="n">
        <f aca="false">D46*$A46+'ARR Model'!E$13</f>
        <v>440.4996592</v>
      </c>
      <c r="F46" s="34" t="n">
        <f aca="false">E46*$A46+'ARR Model'!F$13</f>
        <v>517.690618304</v>
      </c>
      <c r="G46" s="34" t="n">
        <f aca="false">F46*$A46+'ARR Model'!G$13</f>
        <v>604.14449250048</v>
      </c>
      <c r="H46" s="34" t="n">
        <f aca="false">G46*$A46+'ARR Model'!H$13</f>
        <v>700.972831600538</v>
      </c>
      <c r="I46" s="34" t="n">
        <f aca="false">H46*$A46+'ARR Model'!I$13</f>
        <v>809.420571392603</v>
      </c>
      <c r="J46" s="34" t="n">
        <f aca="false">I46*$A46+'ARR Model'!J$13</f>
        <v>930.882039959715</v>
      </c>
      <c r="K46" s="34" t="n">
        <f aca="false">J46*$A46+'ARR Model'!K$13</f>
        <v>1066.91888475488</v>
      </c>
      <c r="L46" s="34" t="n">
        <f aca="false">K46*$A46+'ARR Model'!L$13</f>
        <v>1219.28015092547</v>
      </c>
      <c r="M46" s="34" t="n">
        <f aca="false">SUMPRODUCT((B46:K46+C46:L46)/2*Inputs!$B$44,'ARR Model'!$C$9:$L$9,DCF!$C$5:$L$5)+AVERAGE(K46,L46)*Inputs!$B$44*'ARR Model'!$L$9*(1+Assumptions!$C$11)/(Assumptions!$C$10-Assumptions!$C$11)*DCF!$L$5</f>
        <v>2128.79338471738</v>
      </c>
      <c r="N46" s="30" t="n">
        <f aca="false">(M46+Inputs!$B$13-Inputs!$B$14)/Inputs!$B$9*Inputs!$B$6</f>
        <v>116.812920161597</v>
      </c>
    </row>
    <row r="47" customFormat="false" ht="15" hidden="false" customHeight="false" outlineLevel="0" collapsed="false">
      <c r="A47" s="20" t="n">
        <v>1.115</v>
      </c>
      <c r="B47" s="33" t="n">
        <f aca="false">'ARR Model'!$B$15</f>
        <v>255.1</v>
      </c>
      <c r="C47" s="34" t="n">
        <f aca="false">B47*$A47+'ARR Model'!C$13</f>
        <v>308.7675</v>
      </c>
      <c r="D47" s="34" t="n">
        <f aca="false">C47*$A47+'ARR Model'!D$13</f>
        <v>368.6067625</v>
      </c>
      <c r="E47" s="34" t="n">
        <f aca="false">D47*$A47+'ARR Model'!E$13</f>
        <v>435.3275401875</v>
      </c>
      <c r="F47" s="34" t="n">
        <f aca="false">E47*$A47+'ARR Model'!F$13</f>
        <v>509.721207309063</v>
      </c>
      <c r="G47" s="34" t="n">
        <f aca="false">F47*$A47+'ARR Model'!G$13</f>
        <v>592.670146149605</v>
      </c>
      <c r="H47" s="34" t="n">
        <f aca="false">G47*$A47+'ARR Model'!H$13</f>
        <v>685.158212956809</v>
      </c>
      <c r="I47" s="34" t="n">
        <f aca="false">H47*$A47+'ARR Model'!I$13</f>
        <v>788.282407446842</v>
      </c>
      <c r="J47" s="34" t="n">
        <f aca="false">I47*$A47+'ARR Model'!J$13</f>
        <v>903.265884303229</v>
      </c>
      <c r="K47" s="34" t="n">
        <f aca="false">J47*$A47+'ARR Model'!K$13</f>
        <v>1031.4724609981</v>
      </c>
      <c r="L47" s="34" t="n">
        <f aca="false">K47*$A47+'ARR Model'!L$13</f>
        <v>1174.42279401288</v>
      </c>
      <c r="M47" s="34" t="n">
        <f aca="false">SUMPRODUCT((B47:K47+C47:L47)/2*Inputs!$B$44,'ARR Model'!$C$9:$L$9,DCF!$C$5:$L$5)+AVERAGE(K47,L47)*Inputs!$B$44*'ARR Model'!$L$9*(1+Assumptions!$C$11)/(Assumptions!$C$10-Assumptions!$C$11)*DCF!$L$5</f>
        <v>2065.22952454186</v>
      </c>
      <c r="N47" s="30" t="n">
        <f aca="false">(M47+Inputs!$B$13-Inputs!$B$14)/Inputs!$B$9*Inputs!$B$6</f>
        <v>113.250039070812</v>
      </c>
    </row>
    <row r="48" customFormat="false" ht="15" hidden="false" customHeight="false" outlineLevel="0" collapsed="false">
      <c r="A48" s="20" t="n">
        <v>1.11</v>
      </c>
      <c r="B48" s="33" t="n">
        <f aca="false">'ARR Model'!$B$15</f>
        <v>255.1</v>
      </c>
      <c r="C48" s="34" t="n">
        <f aca="false">B48*$A48+'ARR Model'!C$13</f>
        <v>307.492</v>
      </c>
      <c r="D48" s="34" t="n">
        <f aca="false">C48*$A48+'ARR Model'!D$13</f>
        <v>365.64712</v>
      </c>
      <c r="E48" s="34" t="n">
        <f aca="false">D48*$A48+'ARR Model'!E$13</f>
        <v>430.1993032</v>
      </c>
      <c r="F48" s="34" t="n">
        <f aca="false">E48*$A48+'ARR Model'!F$13</f>
        <v>501.852226552</v>
      </c>
      <c r="G48" s="34" t="n">
        <f aca="false">F48*$A48+'ARR Model'!G$13</f>
        <v>581.38697147272</v>
      </c>
      <c r="H48" s="34" t="n">
        <f aca="false">G48*$A48+'ARR Model'!H$13</f>
        <v>669.67053833472</v>
      </c>
      <c r="I48" s="34" t="n">
        <f aca="false">H48*$A48+'ARR Model'!I$13</f>
        <v>767.665297551539</v>
      </c>
      <c r="J48" s="34" t="n">
        <f aca="false">I48*$A48+'ARR Model'!J$13</f>
        <v>876.439480282208</v>
      </c>
      <c r="K48" s="34" t="n">
        <f aca="false">J48*$A48+'ARR Model'!K$13</f>
        <v>997.178823113251</v>
      </c>
      <c r="L48" s="34" t="n">
        <f aca="false">K48*$A48+'ARR Model'!L$13</f>
        <v>1131.19949365571</v>
      </c>
      <c r="M48" s="34" t="n">
        <f aca="false">SUMPRODUCT((B48:K48+C48:L48)/2*Inputs!$B$44,'ARR Model'!$C$9:$L$9,DCF!$C$5:$L$5)+AVERAGE(K48,L48)*Inputs!$B$44*'ARR Model'!$L$9*(1+Assumptions!$C$11)/(Assumptions!$C$10-Assumptions!$C$11)*DCF!$L$5</f>
        <v>2003.70254935445</v>
      </c>
      <c r="N48" s="30" t="n">
        <f aca="false">(M48+Inputs!$B$13-Inputs!$B$14)/Inputs!$B$9*Inputs!$B$6</f>
        <v>109.801329444569</v>
      </c>
    </row>
    <row r="49" customFormat="false" ht="15" hidden="false" customHeight="false" outlineLevel="0" collapsed="false">
      <c r="A49" s="20" t="n">
        <v>1.105</v>
      </c>
      <c r="B49" s="33" t="n">
        <f aca="false">'ARR Model'!$B$15</f>
        <v>255.1</v>
      </c>
      <c r="C49" s="34" t="n">
        <f aca="false">B49*$A49+'ARR Model'!C$13</f>
        <v>306.2165</v>
      </c>
      <c r="D49" s="34" t="n">
        <f aca="false">C49*$A49+'ARR Model'!D$13</f>
        <v>362.7002325</v>
      </c>
      <c r="E49" s="34" t="n">
        <f aca="false">D49*$A49+'ARR Model'!E$13</f>
        <v>425.1147569125</v>
      </c>
      <c r="F49" s="34" t="n">
        <f aca="false">E49*$A49+'ARR Model'!F$13</f>
        <v>494.082806388313</v>
      </c>
      <c r="G49" s="34" t="n">
        <f aca="false">F49*$A49+'ARR Model'!G$13</f>
        <v>570.292501059085</v>
      </c>
      <c r="H49" s="34" t="n">
        <f aca="false">G49*$A49+'ARR Model'!H$13</f>
        <v>654.504213670289</v>
      </c>
      <c r="I49" s="34" t="n">
        <f aca="false">H49*$A49+'ARR Model'!I$13</f>
        <v>747.55815610567</v>
      </c>
      <c r="J49" s="34" t="n">
        <f aca="false">I49*$A49+'ARR Model'!J$13</f>
        <v>850.382762496765</v>
      </c>
      <c r="K49" s="34" t="n">
        <f aca="false">J49*$A49+'ARR Model'!K$13</f>
        <v>964.003952558925</v>
      </c>
      <c r="L49" s="34" t="n">
        <f aca="false">K49*$A49+'ARR Model'!L$13</f>
        <v>1089.55536757761</v>
      </c>
      <c r="M49" s="34" t="n">
        <f aca="false">SUMPRODUCT((B49:K49+C49:L49)/2*Inputs!$B$44,'ARR Model'!$C$9:$L$9,DCF!$C$5:$L$5)+AVERAGE(K49,L49)*Inputs!$B$44*'ARR Model'!$L$9*(1+Assumptions!$C$11)/(Assumptions!$C$10-Assumptions!$C$11)*DCF!$L$5</f>
        <v>1944.15039369491</v>
      </c>
      <c r="N49" s="30" t="n">
        <f aca="false">(M49+Inputs!$B$13-Inputs!$B$14)/Inputs!$B$9*Inputs!$B$6</f>
        <v>106.463312390082</v>
      </c>
    </row>
    <row r="50" customFormat="false" ht="15" hidden="false" customHeight="false" outlineLevel="0" collapsed="false">
      <c r="A50" s="20" t="n">
        <v>1.1</v>
      </c>
      <c r="B50" s="33" t="n">
        <f aca="false">'ARR Model'!$B$15</f>
        <v>255.1</v>
      </c>
      <c r="C50" s="34" t="n">
        <f aca="false">B50*$A50+'ARR Model'!C$13</f>
        <v>304.941</v>
      </c>
      <c r="D50" s="34" t="n">
        <f aca="false">C50*$A50+'ARR Model'!D$13</f>
        <v>359.7661</v>
      </c>
      <c r="E50" s="34" t="n">
        <f aca="false">D50*$A50+'ARR Model'!E$13</f>
        <v>420.07371</v>
      </c>
      <c r="F50" s="34" t="n">
        <f aca="false">E50*$A50+'ARR Model'!F$13</f>
        <v>486.412081</v>
      </c>
      <c r="G50" s="34" t="n">
        <f aca="false">F50*$A50+'ARR Model'!G$13</f>
        <v>559.3842891</v>
      </c>
      <c r="H50" s="34" t="n">
        <f aca="false">G50*$A50+'ARR Model'!H$13</f>
        <v>639.65371801</v>
      </c>
      <c r="I50" s="34" t="n">
        <f aca="false">H50*$A50+'ARR Model'!I$13</f>
        <v>727.950089811001</v>
      </c>
      <c r="J50" s="34" t="n">
        <f aca="false">I50*$A50+'ARR Model'!J$13</f>
        <v>825.076098792101</v>
      </c>
      <c r="K50" s="34" t="n">
        <f aca="false">J50*$A50+'ARR Model'!K$13</f>
        <v>931.914708671311</v>
      </c>
      <c r="L50" s="34" t="n">
        <f aca="false">K50*$A50+'ARR Model'!L$13</f>
        <v>1049.43717953844</v>
      </c>
      <c r="M50" s="34" t="n">
        <f aca="false">SUMPRODUCT((B50:K50+C50:L50)/2*Inputs!$B$44,'ARR Model'!$C$9:$L$9,DCF!$C$5:$L$5)+AVERAGE(K50,L50)*Inputs!$B$44*'ARR Model'!$L$9*(1+Assumptions!$C$11)/(Assumptions!$C$10-Assumptions!$C$11)*DCF!$L$5</f>
        <v>1886.51270243657</v>
      </c>
      <c r="N50" s="30" t="n">
        <f aca="false">(M50+Inputs!$B$13-Inputs!$B$14)/Inputs!$B$9*Inputs!$B$6</f>
        <v>103.232604882171</v>
      </c>
    </row>
    <row r="51" customFormat="false" ht="15" hidden="false" customHeight="false" outlineLevel="0" collapsed="false">
      <c r="A51" s="20" t="n">
        <v>1.095</v>
      </c>
      <c r="B51" s="33" t="n">
        <f aca="false">'ARR Model'!$B$15</f>
        <v>255.1</v>
      </c>
      <c r="C51" s="34" t="n">
        <f aca="false">B51*$A51+'ARR Model'!C$13</f>
        <v>303.6655</v>
      </c>
      <c r="D51" s="34" t="n">
        <f aca="false">C51*$A51+'ARR Model'!D$13</f>
        <v>356.8447225</v>
      </c>
      <c r="E51" s="34" t="n">
        <f aca="false">D51*$A51+'ARR Model'!E$13</f>
        <v>415.0759711375</v>
      </c>
      <c r="F51" s="34" t="n">
        <f aca="false">E51*$A51+'ARR Model'!F$13</f>
        <v>478.839188395563</v>
      </c>
      <c r="G51" s="34" t="n">
        <f aca="false">F51*$A51+'ARR Model'!G$13</f>
        <v>548.659911293141</v>
      </c>
      <c r="H51" s="34" t="n">
        <f aca="false">G51*$A51+'ARR Model'!H$13</f>
        <v>625.113602865989</v>
      </c>
      <c r="I51" s="34" t="n">
        <f aca="false">H51*$A51+'ARR Model'!I$13</f>
        <v>708.830395138258</v>
      </c>
      <c r="J51" s="34" t="n">
        <f aca="false">I51*$A51+'ARR Model'!J$13</f>
        <v>800.500282676393</v>
      </c>
      <c r="K51" s="34" t="n">
        <f aca="false">J51*$A51+'ARR Model'!K$13</f>
        <v>900.87880953065</v>
      </c>
      <c r="L51" s="34" t="n">
        <f aca="false">K51*$A51+'ARR Model'!L$13</f>
        <v>1010.79329643606</v>
      </c>
      <c r="M51" s="34" t="n">
        <f aca="false">SUMPRODUCT((B51:K51+C51:L51)/2*Inputs!$B$44,'ARR Model'!$C$9:$L$9,DCF!$C$5:$L$5)+AVERAGE(K51,L51)*Inputs!$B$44*'ARR Model'!$L$9*(1+Assumptions!$C$11)/(Assumptions!$C$10-Assumptions!$C$11)*DCF!$L$5</f>
        <v>1830.73078962019</v>
      </c>
      <c r="N51" s="30" t="n">
        <f aca="false">(M51+Inputs!$B$13-Inputs!$B$14)/Inputs!$B$9*Inputs!$B$6</f>
        <v>100.105917455817</v>
      </c>
    </row>
    <row r="52" customFormat="false" ht="15" hidden="false" customHeight="false" outlineLevel="0" collapsed="false">
      <c r="A52" s="20" t="n">
        <v>1.09</v>
      </c>
      <c r="B52" s="33" t="n">
        <f aca="false">'ARR Model'!$B$15</f>
        <v>255.1</v>
      </c>
      <c r="C52" s="34" t="n">
        <f aca="false">B52*$A52+'ARR Model'!C$13</f>
        <v>302.39</v>
      </c>
      <c r="D52" s="34" t="n">
        <f aca="false">C52*$A52+'ARR Model'!D$13</f>
        <v>353.9361</v>
      </c>
      <c r="E52" s="34" t="n">
        <f aca="false">D52*$A52+'ARR Model'!E$13</f>
        <v>410.121349</v>
      </c>
      <c r="F52" s="34" t="n">
        <f aca="false">E52*$A52+'ARR Model'!F$13</f>
        <v>471.36327041</v>
      </c>
      <c r="G52" s="34" t="n">
        <f aca="false">F52*$A52+'ARR Model'!G$13</f>
        <v>538.1169647469</v>
      </c>
      <c r="H52" s="34" t="n">
        <f aca="false">G52*$A52+'ARR Model'!H$13</f>
        <v>610.878491574121</v>
      </c>
      <c r="I52" s="34" t="n">
        <f aca="false">H52*$A52+'ARR Model'!I$13</f>
        <v>690.188555815792</v>
      </c>
      <c r="J52" s="34" t="n">
        <f aca="false">I52*$A52+'ARR Model'!J$13</f>
        <v>776.636525839214</v>
      </c>
      <c r="K52" s="34" t="n">
        <f aca="false">J52*$A52+'ARR Model'!K$13</f>
        <v>870.864813164743</v>
      </c>
      <c r="L52" s="34" t="n">
        <f aca="false">K52*$A52+'ARR Model'!L$13</f>
        <v>973.57364634957</v>
      </c>
      <c r="M52" s="34" t="n">
        <f aca="false">SUMPRODUCT((B52:K52+C52:L52)/2*Inputs!$B$44,'ARR Model'!$C$9:$L$9,DCF!$C$5:$L$5)+AVERAGE(K52,L52)*Inputs!$B$44*'ARR Model'!$L$9*(1+Assumptions!$C$11)/(Assumptions!$C$10-Assumptions!$C$11)*DCF!$L$5</f>
        <v>1776.74759812319</v>
      </c>
      <c r="N52" s="30" t="n">
        <f aca="false">(M52+Inputs!$B$13-Inputs!$B$14)/Inputs!$B$9*Inputs!$B$6</f>
        <v>97.080051945544</v>
      </c>
    </row>
    <row r="53" customFormat="false" ht="15" hidden="false" customHeight="false" outlineLevel="0" collapsed="false">
      <c r="A53" s="20" t="n">
        <v>1.085</v>
      </c>
      <c r="B53" s="33" t="n">
        <f aca="false">'ARR Model'!$B$15</f>
        <v>255.1</v>
      </c>
      <c r="C53" s="34" t="n">
        <f aca="false">B53*$A53+'ARR Model'!C$13</f>
        <v>301.1145</v>
      </c>
      <c r="D53" s="34" t="n">
        <f aca="false">C53*$A53+'ARR Model'!D$13</f>
        <v>351.0402325</v>
      </c>
      <c r="E53" s="34" t="n">
        <f aca="false">D53*$A53+'ARR Model'!E$13</f>
        <v>405.2096522625</v>
      </c>
      <c r="F53" s="34" t="n">
        <f aca="false">E53*$A53+'ARR Model'!F$13</f>
        <v>463.983472704813</v>
      </c>
      <c r="G53" s="34" t="n">
        <f aca="false">F53*$A53+'ARR Model'!G$13</f>
        <v>527.753067884722</v>
      </c>
      <c r="H53" s="34" t="n">
        <f aca="false">G53*$A53+'ARR Model'!H$13</f>
        <v>596.943078654923</v>
      </c>
      <c r="I53" s="34" t="n">
        <f aca="false">H53*$A53+'ARR Model'!I$13</f>
        <v>672.014240340591</v>
      </c>
      <c r="J53" s="34" t="n">
        <f aca="false">I53*$A53+'ARR Model'!J$13</f>
        <v>753.466450769542</v>
      </c>
      <c r="K53" s="34" t="n">
        <f aca="false">J53*$A53+'ARR Model'!K$13</f>
        <v>841.842099084953</v>
      </c>
      <c r="L53" s="34" t="n">
        <f aca="false">K53*$A53+'ARR Model'!L$13</f>
        <v>937.729677507174</v>
      </c>
      <c r="M53" s="34" t="n">
        <f aca="false">SUMPRODUCT((B53:K53+C53:L53)/2*Inputs!$B$44,'ARR Model'!$C$9:$L$9,DCF!$C$5:$L$5)+AVERAGE(K53,L53)*Inputs!$B$44*'ARR Model'!$L$9*(1+Assumptions!$C$11)/(Assumptions!$C$10-Assumptions!$C$11)*DCF!$L$5</f>
        <v>1724.50766015062</v>
      </c>
      <c r="N53" s="30" t="n">
        <f aca="false">(M53+Inputs!$B$13-Inputs!$B$14)/Inputs!$B$9*Inputs!$B$6</f>
        <v>94.1518992708582</v>
      </c>
    </row>
    <row r="54" customFormat="false" ht="15" hidden="false" customHeight="false" outlineLevel="0" collapsed="false">
      <c r="A54" s="20" t="n">
        <v>1.08</v>
      </c>
      <c r="B54" s="33" t="n">
        <f aca="false">'ARR Model'!$B$15</f>
        <v>255.1</v>
      </c>
      <c r="C54" s="34" t="n">
        <f aca="false">B54*$A54+'ARR Model'!C$13</f>
        <v>299.839</v>
      </c>
      <c r="D54" s="34" t="n">
        <f aca="false">C54*$A54+'ARR Model'!D$13</f>
        <v>348.15712</v>
      </c>
      <c r="E54" s="34" t="n">
        <f aca="false">D54*$A54+'ARR Model'!E$13</f>
        <v>400.3406896</v>
      </c>
      <c r="F54" s="34" t="n">
        <f aca="false">E54*$A54+'ARR Model'!F$13</f>
        <v>456.698944768</v>
      </c>
      <c r="G54" s="34" t="n">
        <f aca="false">F54*$A54+'ARR Model'!G$13</f>
        <v>517.56586034944</v>
      </c>
      <c r="H54" s="34" t="n">
        <f aca="false">G54*$A54+'ARR Model'!H$13</f>
        <v>583.302129177396</v>
      </c>
      <c r="I54" s="34" t="n">
        <f aca="false">H54*$A54+'ARR Model'!I$13</f>
        <v>654.297299511587</v>
      </c>
      <c r="J54" s="34" t="n">
        <f aca="false">I54*$A54+'ARR Model'!J$13</f>
        <v>730.972083472514</v>
      </c>
      <c r="K54" s="34" t="n">
        <f aca="false">J54*$A54+'ARR Model'!K$13</f>
        <v>813.780850150316</v>
      </c>
      <c r="L54" s="34" t="n">
        <f aca="false">K54*$A54+'ARR Model'!L$13</f>
        <v>903.214318162341</v>
      </c>
      <c r="M54" s="34" t="n">
        <f aca="false">SUMPRODUCT((B54:K54+C54:L54)/2*Inputs!$B$44,'ARR Model'!$C$9:$L$9,DCF!$C$5:$L$5)+AVERAGE(K54,L54)*Inputs!$B$44*'ARR Model'!$L$9*(1+Assumptions!$C$11)/(Assumptions!$C$10-Assumptions!$C$11)*DCF!$L$5</f>
        <v>1673.95705853426</v>
      </c>
      <c r="N54" s="30" t="n">
        <f aca="false">(M54+Inputs!$B$13-Inputs!$B$14)/Inputs!$B$9*Inputs!$B$6</f>
        <v>91.3184372669862</v>
      </c>
    </row>
    <row r="55" customFormat="false" ht="15" hidden="false" customHeight="false" outlineLevel="0" collapsed="false">
      <c r="A55" s="20" t="n">
        <v>1.075</v>
      </c>
      <c r="B55" s="33" t="n">
        <f aca="false">'ARR Model'!$B$15</f>
        <v>255.1</v>
      </c>
      <c r="C55" s="34" t="n">
        <f aca="false">B55*$A55+'ARR Model'!C$13</f>
        <v>298.5635</v>
      </c>
      <c r="D55" s="34" t="n">
        <f aca="false">C55*$A55+'ARR Model'!D$13</f>
        <v>345.2867625</v>
      </c>
      <c r="E55" s="34" t="n">
        <f aca="false">D55*$A55+'ARR Model'!E$13</f>
        <v>395.5142696875</v>
      </c>
      <c r="F55" s="34" t="n">
        <f aca="false">E55*$A55+'ARR Model'!F$13</f>
        <v>449.508839914062</v>
      </c>
      <c r="G55" s="34" t="n">
        <f aca="false">F55*$A55+'ARR Model'!G$13</f>
        <v>507.553002907617</v>
      </c>
      <c r="H55" s="34" t="n">
        <f aca="false">G55*$A55+'ARR Model'!H$13</f>
        <v>569.950478125688</v>
      </c>
      <c r="I55" s="34" t="n">
        <f aca="false">H55*$A55+'ARR Model'!I$13</f>
        <v>637.027763985115</v>
      </c>
      <c r="J55" s="34" t="n">
        <f aca="false">I55*$A55+'ARR Model'!J$13</f>
        <v>709.135846283999</v>
      </c>
      <c r="K55" s="34" t="n">
        <f aca="false">J55*$A55+'ARR Model'!K$13</f>
        <v>786.652034755299</v>
      </c>
      <c r="L55" s="34" t="n">
        <f aca="false">K55*$A55+'ARR Model'!L$13</f>
        <v>869.981937361946</v>
      </c>
      <c r="M55" s="34" t="n">
        <f aca="false">SUMPRODUCT((B55:K55+C55:L55)/2*Inputs!$B$44,'ARR Model'!$C$9:$L$9,DCF!$C$5:$L$5)+AVERAGE(K55,L55)*Inputs!$B$44*'ARR Model'!$L$9*(1+Assumptions!$C$11)/(Assumptions!$C$10-Assumptions!$C$11)*DCF!$L$5</f>
        <v>1625.04338882664</v>
      </c>
      <c r="N55" s="30" t="n">
        <f aca="false">(M55+Inputs!$B$13-Inputs!$B$14)/Inputs!$B$9*Inputs!$B$6</f>
        <v>88.5767285601682</v>
      </c>
    </row>
    <row r="56" customFormat="false" ht="15" hidden="false" customHeight="false" outlineLevel="0" collapsed="false">
      <c r="A56" s="20" t="n">
        <v>1.07</v>
      </c>
      <c r="B56" s="33" t="n">
        <f aca="false">'ARR Model'!$B$15</f>
        <v>255.1</v>
      </c>
      <c r="C56" s="34" t="n">
        <f aca="false">B56*$A56+'ARR Model'!C$13</f>
        <v>297.288</v>
      </c>
      <c r="D56" s="34" t="n">
        <f aca="false">C56*$A56+'ARR Model'!D$13</f>
        <v>342.42916</v>
      </c>
      <c r="E56" s="34" t="n">
        <f aca="false">D56*$A56+'ARR Model'!E$13</f>
        <v>390.7302012</v>
      </c>
      <c r="F56" s="34" t="n">
        <f aca="false">E56*$A56+'ARR Model'!F$13</f>
        <v>442.412315284</v>
      </c>
      <c r="G56" s="34" t="n">
        <f aca="false">F56*$A56+'ARR Model'!G$13</f>
        <v>497.71217735388</v>
      </c>
      <c r="H56" s="34" t="n">
        <f aca="false">G56*$A56+'ARR Model'!H$13</f>
        <v>556.883029768652</v>
      </c>
      <c r="I56" s="34" t="n">
        <f aca="false">H56*$A56+'ARR Model'!I$13</f>
        <v>620.195841852457</v>
      </c>
      <c r="J56" s="34" t="n">
        <f aca="false">I56*$A56+'ARR Model'!J$13</f>
        <v>687.94055078213</v>
      </c>
      <c r="K56" s="34" t="n">
        <f aca="false">J56*$A56+'ARR Model'!K$13</f>
        <v>760.427389336879</v>
      </c>
      <c r="L56" s="34" t="n">
        <f aca="false">K56*$A56+'ARR Model'!L$13</f>
        <v>837.98830659046</v>
      </c>
      <c r="M56" s="34" t="n">
        <f aca="false">SUMPRODUCT((B56:K56+C56:L56)/2*Inputs!$B$44,'ARR Model'!$C$9:$L$9,DCF!$C$5:$L$5)+AVERAGE(K56,L56)*Inputs!$B$44*'ARR Model'!$L$9*(1+Assumptions!$C$11)/(Assumptions!$C$10-Assumptions!$C$11)*DCF!$L$5</f>
        <v>1577.71572217679</v>
      </c>
      <c r="N56" s="30" t="n">
        <f aca="false">(M56+Inputs!$B$13-Inputs!$B$14)/Inputs!$B$9*Inputs!$B$6</f>
        <v>85.9239184867688</v>
      </c>
    </row>
    <row r="57" customFormat="false" ht="15" hidden="false" customHeight="false" outlineLevel="0" collapsed="false">
      <c r="A57" s="20" t="n">
        <v>1.065</v>
      </c>
      <c r="B57" s="33" t="n">
        <f aca="false">'ARR Model'!$B$15</f>
        <v>255.1</v>
      </c>
      <c r="C57" s="34" t="n">
        <f aca="false">B57*$A57+'ARR Model'!C$13</f>
        <v>296.0125</v>
      </c>
      <c r="D57" s="34" t="n">
        <f aca="false">C57*$A57+'ARR Model'!D$13</f>
        <v>339.5843125</v>
      </c>
      <c r="E57" s="34" t="n">
        <f aca="false">D57*$A57+'ARR Model'!E$13</f>
        <v>385.9882928125</v>
      </c>
      <c r="F57" s="34" t="n">
        <f aca="false">E57*$A57+'ARR Model'!F$13</f>
        <v>435.408531845313</v>
      </c>
      <c r="G57" s="34" t="n">
        <f aca="false">F57*$A57+'ARR Model'!G$13</f>
        <v>488.041086415258</v>
      </c>
      <c r="H57" s="34" t="n">
        <f aca="false">G57*$A57+'ARR Model'!H$13</f>
        <v>544.09475703225</v>
      </c>
      <c r="I57" s="34" t="n">
        <f aca="false">H57*$A57+'ARR Model'!I$13</f>
        <v>603.791916239346</v>
      </c>
      <c r="J57" s="34" t="n">
        <f aca="false">I57*$A57+'ARR Model'!J$13</f>
        <v>667.369390794903</v>
      </c>
      <c r="K57" s="34" t="n">
        <f aca="false">J57*$A57+'ARR Model'!K$13</f>
        <v>735.079401196572</v>
      </c>
      <c r="L57" s="34" t="n">
        <f aca="false">K57*$A57+'ARR Model'!L$13</f>
        <v>807.190562274349</v>
      </c>
      <c r="M57" s="34" t="n">
        <f aca="false">SUMPRODUCT((B57:K57+C57:L57)/2*Inputs!$B$44,'ARR Model'!$C$9:$L$9,DCF!$C$5:$L$5)+AVERAGE(K57,L57)*Inputs!$B$44*'ARR Model'!$L$9*(1+Assumptions!$C$11)/(Assumptions!$C$10-Assumptions!$C$11)*DCF!$L$5</f>
        <v>1531.92456897458</v>
      </c>
      <c r="N57" s="30" t="n">
        <f aca="false">(M57+Inputs!$B$13-Inputs!$B$14)/Inputs!$B$9*Inputs!$B$6</f>
        <v>83.3572330554736</v>
      </c>
    </row>
    <row r="58" customFormat="false" ht="15" hidden="false" customHeight="false" outlineLevel="0" collapsed="false">
      <c r="A58" s="20" t="n">
        <v>1.06</v>
      </c>
      <c r="B58" s="33" t="n">
        <f aca="false">'ARR Model'!$B$15</f>
        <v>255.1</v>
      </c>
      <c r="C58" s="34" t="n">
        <f aca="false">B58*$A58+'ARR Model'!C$13</f>
        <v>294.737</v>
      </c>
      <c r="D58" s="34" t="n">
        <f aca="false">C58*$A58+'ARR Model'!D$13</f>
        <v>336.75222</v>
      </c>
      <c r="E58" s="34" t="n">
        <f aca="false">D58*$A58+'ARR Model'!E$13</f>
        <v>381.2883532</v>
      </c>
      <c r="F58" s="34" t="n">
        <f aca="false">E58*$A58+'ARR Model'!F$13</f>
        <v>428.496654392</v>
      </c>
      <c r="G58" s="34" t="n">
        <f aca="false">F58*$A58+'ARR Model'!G$13</f>
        <v>478.53745365552</v>
      </c>
      <c r="H58" s="34" t="n">
        <f aca="false">G58*$A58+'ARR Model'!H$13</f>
        <v>531.580700874852</v>
      </c>
      <c r="I58" s="34" t="n">
        <f aca="false">H58*$A58+'ARR Model'!I$13</f>
        <v>587.806542927343</v>
      </c>
      <c r="J58" s="34" t="n">
        <f aca="false">I58*$A58+'ARR Model'!J$13</f>
        <v>647.405935502983</v>
      </c>
      <c r="K58" s="34" t="n">
        <f aca="false">J58*$A58+'ARR Model'!K$13</f>
        <v>710.581291633162</v>
      </c>
      <c r="L58" s="34" t="n">
        <f aca="false">K58*$A58+'ARR Model'!L$13</f>
        <v>777.547169131152</v>
      </c>
      <c r="M58" s="34" t="n">
        <f aca="false">SUMPRODUCT((B58:K58+C58:L58)/2*Inputs!$B$44,'ARR Model'!$C$9:$L$9,DCF!$C$5:$L$5)+AVERAGE(K58,L58)*Inputs!$B$44*'ARR Model'!$L$9*(1+Assumptions!$C$11)/(Assumptions!$C$10-Assumptions!$C$11)*DCF!$L$5</f>
        <v>1487.62184325114</v>
      </c>
      <c r="N58" s="30" t="n">
        <f aca="false">(M58+Inputs!$B$13-Inputs!$B$14)/Inputs!$B$9*Inputs!$B$6</f>
        <v>80.8739769518566</v>
      </c>
    </row>
    <row r="59" customFormat="false" ht="15" hidden="false" customHeight="false" outlineLevel="0" collapsed="false">
      <c r="A59" s="20" t="n">
        <v>1.055</v>
      </c>
      <c r="B59" s="33" t="n">
        <f aca="false">'ARR Model'!$B$15</f>
        <v>255.1</v>
      </c>
      <c r="C59" s="34" t="n">
        <f aca="false">B59*$A59+'ARR Model'!C$13</f>
        <v>293.4615</v>
      </c>
      <c r="D59" s="34" t="n">
        <f aca="false">C59*$A59+'ARR Model'!D$13</f>
        <v>333.9328825</v>
      </c>
      <c r="E59" s="34" t="n">
        <f aca="false">D59*$A59+'ARR Model'!E$13</f>
        <v>376.6301910375</v>
      </c>
      <c r="F59" s="34" t="n">
        <f aca="false">E59*$A59+'ARR Model'!F$13</f>
        <v>421.675851544563</v>
      </c>
      <c r="G59" s="34" t="n">
        <f aca="false">F59*$A59+'ARR Model'!G$13</f>
        <v>469.199023379513</v>
      </c>
      <c r="H59" s="34" t="n">
        <f aca="false">G59*$A59+'ARR Model'!H$13</f>
        <v>519.335969665387</v>
      </c>
      <c r="I59" s="34" t="n">
        <f aca="false">H59*$A59+'ARR Model'!I$13</f>
        <v>572.230447996983</v>
      </c>
      <c r="J59" s="34" t="n">
        <f aca="false">I59*$A59+'ARR Model'!J$13</f>
        <v>628.034122636817</v>
      </c>
      <c r="K59" s="34" t="n">
        <f aca="false">J59*$A59+'ARR Model'!K$13</f>
        <v>686.906999381842</v>
      </c>
      <c r="L59" s="34" t="n">
        <f aca="false">K59*$A59+'ARR Model'!L$13</f>
        <v>749.017884347843</v>
      </c>
      <c r="M59" s="34" t="n">
        <f aca="false">SUMPRODUCT((B59:K59+C59:L59)/2*Inputs!$B$44,'ARR Model'!$C$9:$L$9,DCF!$C$5:$L$5)+AVERAGE(K59,L59)*Inputs!$B$44*'ARR Model'!$L$9*(1+Assumptions!$C$11)/(Assumptions!$C$10-Assumptions!$C$11)*DCF!$L$5</f>
        <v>1444.76082782228</v>
      </c>
      <c r="N59" s="30" t="n">
        <f aca="false">(M59+Inputs!$B$13-Inputs!$B$14)/Inputs!$B$9*Inputs!$B$6</f>
        <v>78.4715315846041</v>
      </c>
    </row>
    <row r="60" customFormat="false" ht="15" hidden="false" customHeight="false" outlineLevel="0" collapsed="false">
      <c r="A60" s="20" t="n">
        <v>1.05</v>
      </c>
      <c r="B60" s="33" t="n">
        <f aca="false">'ARR Model'!$B$15</f>
        <v>255.1</v>
      </c>
      <c r="C60" s="34" t="n">
        <f aca="false">B60*$A60+'ARR Model'!C$13</f>
        <v>292.186</v>
      </c>
      <c r="D60" s="34" t="n">
        <f aca="false">C60*$A60+'ARR Model'!D$13</f>
        <v>331.1263</v>
      </c>
      <c r="E60" s="34" t="n">
        <f aca="false">D60*$A60+'ARR Model'!E$13</f>
        <v>372.013615</v>
      </c>
      <c r="F60" s="34" t="n">
        <f aca="false">E60*$A60+'ARR Model'!F$13</f>
        <v>414.94529575</v>
      </c>
      <c r="G60" s="34" t="n">
        <f aca="false">F60*$A60+'ARR Model'!G$13</f>
        <v>460.0235605375</v>
      </c>
      <c r="H60" s="34" t="n">
        <f aca="false">G60*$A60+'ARR Model'!H$13</f>
        <v>507.355738564375</v>
      </c>
      <c r="I60" s="34" t="n">
        <f aca="false">H60*$A60+'ARR Model'!I$13</f>
        <v>557.054525492594</v>
      </c>
      <c r="J60" s="34" t="n">
        <f aca="false">I60*$A60+'ARR Model'!J$13</f>
        <v>609.238251767224</v>
      </c>
      <c r="K60" s="34" t="n">
        <f aca="false">J60*$A60+'ARR Model'!K$13</f>
        <v>664.031164355585</v>
      </c>
      <c r="L60" s="34" t="n">
        <f aca="false">K60*$A60+'ARR Model'!L$13</f>
        <v>721.563722573364</v>
      </c>
      <c r="M60" s="34" t="n">
        <f aca="false">SUMPRODUCT((B60:K60+C60:L60)/2*Inputs!$B$44,'ARR Model'!$C$9:$L$9,DCF!$C$5:$L$5)+AVERAGE(K60,L60)*Inputs!$B$44*'ARR Model'!$L$9*(1+Assumptions!$C$11)/(Assumptions!$C$10-Assumptions!$C$11)*DCF!$L$5</f>
        <v>1403.29614016276</v>
      </c>
      <c r="N60" s="30" t="n">
        <f aca="false">(M60+Inputs!$B$13-Inputs!$B$14)/Inputs!$B$9*Inputs!$B$6</f>
        <v>76.147353172697</v>
      </c>
    </row>
    <row r="61" customFormat="false" ht="15" hidden="false" customHeight="false" outlineLevel="0" collapsed="false">
      <c r="A61" s="20" t="n">
        <v>1.045</v>
      </c>
      <c r="B61" s="33" t="n">
        <f aca="false">'ARR Model'!$B$15</f>
        <v>255.1</v>
      </c>
      <c r="C61" s="34" t="n">
        <f aca="false">B61*$A61+'ARR Model'!C$13</f>
        <v>290.9105</v>
      </c>
      <c r="D61" s="34" t="n">
        <f aca="false">C61*$A61+'ARR Model'!D$13</f>
        <v>328.3324725</v>
      </c>
      <c r="E61" s="34" t="n">
        <f aca="false">D61*$A61+'ARR Model'!E$13</f>
        <v>367.4384337625</v>
      </c>
      <c r="F61" s="34" t="n">
        <f aca="false">E61*$A61+'ARR Model'!F$13</f>
        <v>408.304163281812</v>
      </c>
      <c r="G61" s="34" t="n">
        <f aca="false">F61*$A61+'ARR Model'!G$13</f>
        <v>451.008850629494</v>
      </c>
      <c r="H61" s="34" t="n">
        <f aca="false">G61*$A61+'ARR Model'!H$13</f>
        <v>495.635248907821</v>
      </c>
      <c r="I61" s="34" t="n">
        <f aca="false">H61*$A61+'ARR Model'!I$13</f>
        <v>542.269835108673</v>
      </c>
      <c r="J61" s="34" t="n">
        <f aca="false">I61*$A61+'ARR Model'!J$13</f>
        <v>591.002977688563</v>
      </c>
      <c r="K61" s="34" t="n">
        <f aca="false">J61*$A61+'ARR Model'!K$13</f>
        <v>641.929111684549</v>
      </c>
      <c r="L61" s="34" t="n">
        <f aca="false">K61*$A61+'ARR Model'!L$13</f>
        <v>695.146921710353</v>
      </c>
      <c r="M61" s="34" t="n">
        <f aca="false">SUMPRODUCT((B61:K61+C61:L61)/2*Inputs!$B$44,'ARR Model'!$C$9:$L$9,DCF!$C$5:$L$5)+AVERAGE(K61,L61)*Inputs!$B$44*'ARR Model'!$L$9*(1+Assumptions!$C$11)/(Assumptions!$C$10-Assumptions!$C$11)*DCF!$L$5</f>
        <v>1363.18369899884</v>
      </c>
      <c r="N61" s="30" t="n">
        <f aca="false">(M61+Inputs!$B$13-Inputs!$B$14)/Inputs!$B$9*Inputs!$B$6</f>
        <v>73.8989708728567</v>
      </c>
    </row>
    <row r="62" customFormat="false" ht="15" hidden="false" customHeight="false" outlineLevel="0" collapsed="false">
      <c r="A62" s="20" t="n">
        <v>1.04</v>
      </c>
      <c r="B62" s="33" t="n">
        <f aca="false">'ARR Model'!$B$15</f>
        <v>255.1</v>
      </c>
      <c r="C62" s="34" t="n">
        <f aca="false">B62*$A62+'ARR Model'!C$13</f>
        <v>289.635</v>
      </c>
      <c r="D62" s="34" t="n">
        <f aca="false">C62*$A62+'ARR Model'!D$13</f>
        <v>325.5514</v>
      </c>
      <c r="E62" s="34" t="n">
        <f aca="false">D62*$A62+'ARR Model'!E$13</f>
        <v>362.904456</v>
      </c>
      <c r="F62" s="34" t="n">
        <f aca="false">E62*$A62+'ARR Model'!F$13</f>
        <v>401.75163424</v>
      </c>
      <c r="G62" s="34" t="n">
        <f aca="false">F62*$A62+'ARR Model'!G$13</f>
        <v>442.1526996096</v>
      </c>
      <c r="H62" s="34" t="n">
        <f aca="false">G62*$A62+'ARR Model'!H$13</f>
        <v>484.169807593984</v>
      </c>
      <c r="I62" s="34" t="n">
        <f aca="false">H62*$A62+'ARR Model'!I$13</f>
        <v>527.867599897744</v>
      </c>
      <c r="J62" s="34" t="n">
        <f aca="false">I62*$A62+'ARR Model'!J$13</f>
        <v>573.313303893653</v>
      </c>
      <c r="K62" s="34" t="n">
        <f aca="false">J62*$A62+'ARR Model'!K$13</f>
        <v>620.5768360494</v>
      </c>
      <c r="L62" s="34" t="n">
        <f aca="false">K62*$A62+'ARR Model'!L$13</f>
        <v>669.730909491376</v>
      </c>
      <c r="M62" s="34" t="n">
        <f aca="false">SUMPRODUCT((B62:K62+C62:L62)/2*Inputs!$B$44,'ARR Model'!$C$9:$L$9,DCF!$C$5:$L$5)+AVERAGE(K62,L62)*Inputs!$B$44*'ARR Model'!$L$9*(1+Assumptions!$C$11)/(Assumptions!$C$10-Assumptions!$C$11)*DCF!$L$5</f>
        <v>1324.38069160699</v>
      </c>
      <c r="N62" s="30" t="n">
        <f aca="false">(M62+Inputs!$B$13-Inputs!$B$14)/Inputs!$B$9*Inputs!$B$6</f>
        <v>71.7239849465727</v>
      </c>
    </row>
    <row r="63" customFormat="false" ht="15" hidden="false" customHeight="false" outlineLevel="0" collapsed="false">
      <c r="A63" s="20" t="n">
        <v>1.035</v>
      </c>
      <c r="B63" s="33" t="n">
        <f aca="false">'ARR Model'!$B$15</f>
        <v>255.1</v>
      </c>
      <c r="C63" s="34" t="n">
        <f aca="false">B63*$A63+'ARR Model'!C$13</f>
        <v>288.3595</v>
      </c>
      <c r="D63" s="34" t="n">
        <f aca="false">C63*$A63+'ARR Model'!D$13</f>
        <v>322.7830825</v>
      </c>
      <c r="E63" s="34" t="n">
        <f aca="false">D63*$A63+'ARR Model'!E$13</f>
        <v>358.4114903875</v>
      </c>
      <c r="F63" s="34" t="n">
        <f aca="false">E63*$A63+'ARR Model'!F$13</f>
        <v>395.286892551062</v>
      </c>
      <c r="G63" s="34" t="n">
        <f aca="false">F63*$A63+'ARR Model'!G$13</f>
        <v>433.45293379035</v>
      </c>
      <c r="H63" s="34" t="n">
        <f aca="false">G63*$A63+'ARR Model'!H$13</f>
        <v>472.954786473012</v>
      </c>
      <c r="I63" s="34" t="n">
        <f aca="false">H63*$A63+'ARR Model'!I$13</f>
        <v>513.839203999567</v>
      </c>
      <c r="J63" s="34" t="n">
        <f aca="false">I63*$A63+'ARR Model'!J$13</f>
        <v>556.154576139552</v>
      </c>
      <c r="K63" s="34" t="n">
        <f aca="false">J63*$A63+'ARR Model'!K$13</f>
        <v>599.950986304436</v>
      </c>
      <c r="L63" s="34" t="n">
        <f aca="false">K63*$A63+'ARR Model'!L$13</f>
        <v>645.280270825092</v>
      </c>
      <c r="M63" s="34" t="n">
        <f aca="false">SUMPRODUCT((B63:K63+C63:L63)/2*Inputs!$B$44,'ARR Model'!$C$9:$L$9,DCF!$C$5:$L$5)+AVERAGE(K63,L63)*Inputs!$B$44*'ARR Model'!$L$9*(1+Assumptions!$C$11)/(Assumptions!$C$10-Assumptions!$C$11)*DCF!$L$5</f>
        <v>1286.84554180668</v>
      </c>
      <c r="N63" s="30" t="n">
        <f aca="false">(M63+Inputs!$B$13-Inputs!$B$14)/Inputs!$B$9*Inputs!$B$6</f>
        <v>69.6200649660356</v>
      </c>
    </row>
    <row r="64" customFormat="false" ht="15" hidden="false" customHeight="false" outlineLevel="0" collapsed="false">
      <c r="A64" s="20" t="n">
        <v>1.03</v>
      </c>
      <c r="B64" s="33" t="n">
        <f aca="false">'ARR Model'!$B$15</f>
        <v>255.1</v>
      </c>
      <c r="C64" s="34" t="n">
        <f aca="false">B64*$A64+'ARR Model'!C$13</f>
        <v>287.084</v>
      </c>
      <c r="D64" s="34" t="n">
        <f aca="false">C64*$A64+'ARR Model'!D$13</f>
        <v>320.02752</v>
      </c>
      <c r="E64" s="34" t="n">
        <f aca="false">D64*$A64+'ARR Model'!E$13</f>
        <v>353.9593456</v>
      </c>
      <c r="F64" s="34" t="n">
        <f aca="false">E64*$A64+'ARR Model'!F$13</f>
        <v>388.909125968</v>
      </c>
      <c r="G64" s="34" t="n">
        <f aca="false">F64*$A64+'ARR Model'!G$13</f>
        <v>424.90739974704</v>
      </c>
      <c r="H64" s="34" t="n">
        <f aca="false">G64*$A64+'ARR Model'!H$13</f>
        <v>461.985621739451</v>
      </c>
      <c r="I64" s="34" t="n">
        <f aca="false">H64*$A64+'ARR Model'!I$13</f>
        <v>500.176190391635</v>
      </c>
      <c r="J64" s="34" t="n">
        <f aca="false">I64*$A64+'ARR Model'!J$13</f>
        <v>539.512476103384</v>
      </c>
      <c r="K64" s="34" t="n">
        <f aca="false">J64*$A64+'ARR Model'!K$13</f>
        <v>580.028850386486</v>
      </c>
      <c r="L64" s="34" t="n">
        <f aca="false">K64*$A64+'ARR Model'!L$13</f>
        <v>621.76071589808</v>
      </c>
      <c r="M64" s="34" t="n">
        <f aca="false">SUMPRODUCT((B64:K64+C64:L64)/2*Inputs!$B$44,'ARR Model'!$C$9:$L$9,DCF!$C$5:$L$5)+AVERAGE(K64,L64)*Inputs!$B$44*'ARR Model'!$L$9*(1+Assumptions!$C$11)/(Assumptions!$C$10-Assumptions!$C$11)*DCF!$L$5</f>
        <v>1250.53787863543</v>
      </c>
      <c r="N64" s="30" t="n">
        <f aca="false">(M64+Inputs!$B$13-Inputs!$B$14)/Inputs!$B$9*Inputs!$B$6</f>
        <v>67.584948058311</v>
      </c>
    </row>
    <row r="65" customFormat="false" ht="15" hidden="false" customHeight="false" outlineLevel="0" collapsed="false">
      <c r="A65" s="20" t="n">
        <v>1.025</v>
      </c>
      <c r="B65" s="33" t="n">
        <f aca="false">'ARR Model'!$B$15</f>
        <v>255.1</v>
      </c>
      <c r="C65" s="34" t="n">
        <f aca="false">B65*$A65+'ARR Model'!C$13</f>
        <v>285.8085</v>
      </c>
      <c r="D65" s="34" t="n">
        <f aca="false">C65*$A65+'ARR Model'!D$13</f>
        <v>317.2847125</v>
      </c>
      <c r="E65" s="34" t="n">
        <f aca="false">D65*$A65+'ARR Model'!E$13</f>
        <v>349.5478303125</v>
      </c>
      <c r="F65" s="34" t="n">
        <f aca="false">E65*$A65+'ARR Model'!F$13</f>
        <v>382.617526070312</v>
      </c>
      <c r="G65" s="34" t="n">
        <f aca="false">F65*$A65+'ARR Model'!G$13</f>
        <v>416.51396422207</v>
      </c>
      <c r="H65" s="34" t="n">
        <f aca="false">G65*$A65+'ARR Model'!H$13</f>
        <v>451.257813327622</v>
      </c>
      <c r="I65" s="34" t="n">
        <f aca="false">H65*$A65+'ARR Model'!I$13</f>
        <v>486.870258660813</v>
      </c>
      <c r="J65" s="34" t="n">
        <f aca="false">I65*$A65+'ARR Model'!J$13</f>
        <v>523.373015127333</v>
      </c>
      <c r="K65" s="34" t="n">
        <f aca="false">J65*$A65+'ARR Model'!K$13</f>
        <v>560.788340505516</v>
      </c>
      <c r="L65" s="34" t="n">
        <f aca="false">K65*$A65+'ARR Model'!L$13</f>
        <v>599.139049018154</v>
      </c>
      <c r="M65" s="34" t="n">
        <f aca="false">SUMPRODUCT((B65:K65+C65:L65)/2*Inputs!$B$44,'ARR Model'!$C$9:$L$9,DCF!$C$5:$L$5)+AVERAGE(K65,L65)*Inputs!$B$44*'ARR Model'!$L$9*(1+Assumptions!$C$11)/(Assumptions!$C$10-Assumptions!$C$11)*DCF!$L$5</f>
        <v>1215.41850569435</v>
      </c>
      <c r="N65" s="30" t="n">
        <f aca="false">(M65+Inputs!$B$13-Inputs!$B$14)/Inputs!$B$9*Inputs!$B$6</f>
        <v>65.6164371870944</v>
      </c>
    </row>
    <row r="66" customFormat="false" ht="15" hidden="false" customHeight="false" outlineLevel="0" collapsed="false">
      <c r="A66" s="20" t="n">
        <v>1.02</v>
      </c>
      <c r="B66" s="33" t="n">
        <f aca="false">'ARR Model'!$B$15</f>
        <v>255.1</v>
      </c>
      <c r="C66" s="34" t="n">
        <f aca="false">B66*$A66+'ARR Model'!C$13</f>
        <v>284.533</v>
      </c>
      <c r="D66" s="34" t="n">
        <f aca="false">C66*$A66+'ARR Model'!D$13</f>
        <v>314.55466</v>
      </c>
      <c r="E66" s="34" t="n">
        <f aca="false">D66*$A66+'ARR Model'!E$13</f>
        <v>345.1767532</v>
      </c>
      <c r="F66" s="34" t="n">
        <f aca="false">E66*$A66+'ARR Model'!F$13</f>
        <v>376.411288264</v>
      </c>
      <c r="G66" s="34" t="n">
        <f aca="false">F66*$A66+'ARR Model'!G$13</f>
        <v>408.27051402928</v>
      </c>
      <c r="H66" s="34" t="n">
        <f aca="false">G66*$A66+'ARR Model'!H$13</f>
        <v>440.766924309866</v>
      </c>
      <c r="I66" s="34" t="n">
        <f aca="false">H66*$A66+'ARR Model'!I$13</f>
        <v>473.913262796063</v>
      </c>
      <c r="J66" s="34" t="n">
        <f aca="false">I66*$A66+'ARR Model'!J$13</f>
        <v>507.722528051984</v>
      </c>
      <c r="K66" s="34" t="n">
        <f aca="false">J66*$A66+'ARR Model'!K$13</f>
        <v>542.207978613024</v>
      </c>
      <c r="L66" s="34" t="n">
        <f aca="false">K66*$A66+'ARR Model'!L$13</f>
        <v>577.383138185285</v>
      </c>
      <c r="M66" s="34" t="n">
        <f aca="false">SUMPRODUCT((B66:K66+C66:L66)/2*Inputs!$B$44,'ARR Model'!$C$9:$L$9,DCF!$C$5:$L$5)+AVERAGE(K66,L66)*Inputs!$B$44*'ARR Model'!$L$9*(1+Assumptions!$C$11)/(Assumptions!$C$10-Assumptions!$C$11)*DCF!$L$5</f>
        <v>1181.44937115258</v>
      </c>
      <c r="N66" s="30" t="n">
        <f aca="false">(M66+Inputs!$B$13-Inputs!$B$14)/Inputs!$B$9*Inputs!$B$6</f>
        <v>63.7123994714012</v>
      </c>
    </row>
    <row r="67" customFormat="false" ht="15" hidden="false" customHeight="false" outlineLevel="0" collapsed="false">
      <c r="A67" s="20" t="n">
        <v>1.015</v>
      </c>
      <c r="B67" s="33" t="n">
        <f aca="false">'ARR Model'!$B$15</f>
        <v>255.1</v>
      </c>
      <c r="C67" s="34" t="n">
        <f aca="false">B67*$A67+'ARR Model'!C$13</f>
        <v>283.2575</v>
      </c>
      <c r="D67" s="34" t="n">
        <f aca="false">C67*$A67+'ARR Model'!D$13</f>
        <v>311.8373625</v>
      </c>
      <c r="E67" s="34" t="n">
        <f aca="false">D67*$A67+'ARR Model'!E$13</f>
        <v>340.8459229375</v>
      </c>
      <c r="F67" s="34" t="n">
        <f aca="false">E67*$A67+'ARR Model'!F$13</f>
        <v>370.289611781562</v>
      </c>
      <c r="G67" s="34" t="n">
        <f aca="false">F67*$A67+'ARR Model'!G$13</f>
        <v>400.174955958286</v>
      </c>
      <c r="H67" s="34" t="n">
        <f aca="false">G67*$A67+'ARR Model'!H$13</f>
        <v>430.50858029766</v>
      </c>
      <c r="I67" s="34" t="n">
        <f aca="false">H67*$A67+'ARR Model'!I$13</f>
        <v>461.297209002125</v>
      </c>
      <c r="J67" s="34" t="n">
        <f aca="false">I67*$A67+'ARR Model'!J$13</f>
        <v>492.547667137157</v>
      </c>
      <c r="K67" s="34" t="n">
        <f aca="false">J67*$A67+'ARR Model'!K$13</f>
        <v>524.266882144214</v>
      </c>
      <c r="L67" s="34" t="n">
        <f aca="false">K67*$A67+'ARR Model'!L$13</f>
        <v>556.461885376377</v>
      </c>
      <c r="M67" s="34" t="n">
        <f aca="false">SUMPRODUCT((B67:K67+C67:L67)/2*Inputs!$B$44,'ARR Model'!$C$9:$L$9,DCF!$C$5:$L$5)+AVERAGE(K67,L67)*Inputs!$B$44*'ARR Model'!$L$9*(1+Assumptions!$C$11)/(Assumptions!$C$10-Assumptions!$C$11)*DCF!$L$5</f>
        <v>1148.59353839917</v>
      </c>
      <c r="N67" s="30" t="n">
        <f aca="false">(M67+Inputs!$B$13-Inputs!$B$14)/Inputs!$B$9*Inputs!$B$6</f>
        <v>61.8707645405474</v>
      </c>
    </row>
    <row r="68" customFormat="false" ht="15" hidden="false" customHeight="false" outlineLevel="0" collapsed="false">
      <c r="A68" s="20" t="n">
        <v>1.01</v>
      </c>
      <c r="B68" s="33" t="n">
        <f aca="false">'ARR Model'!$B$15</f>
        <v>255.1</v>
      </c>
      <c r="C68" s="34" t="n">
        <f aca="false">B68*$A68+'ARR Model'!C$13</f>
        <v>281.982</v>
      </c>
      <c r="D68" s="34" t="n">
        <f aca="false">C68*$A68+'ARR Model'!D$13</f>
        <v>309.13282</v>
      </c>
      <c r="E68" s="34" t="n">
        <f aca="false">D68*$A68+'ARR Model'!E$13</f>
        <v>336.5551482</v>
      </c>
      <c r="F68" s="34" t="n">
        <f aca="false">E68*$A68+'ARR Model'!F$13</f>
        <v>364.251699682</v>
      </c>
      <c r="G68" s="34" t="n">
        <f aca="false">F68*$A68+'ARR Model'!G$13</f>
        <v>392.22521667882</v>
      </c>
      <c r="H68" s="34" t="n">
        <f aca="false">G68*$A68+'ARR Model'!H$13</f>
        <v>420.478468845608</v>
      </c>
      <c r="I68" s="34" t="n">
        <f aca="false">H68*$A68+'ARR Model'!I$13</f>
        <v>449.014253534064</v>
      </c>
      <c r="J68" s="34" t="n">
        <f aca="false">I68*$A68+'ARR Model'!J$13</f>
        <v>477.835396069405</v>
      </c>
      <c r="K68" s="34" t="n">
        <f aca="false">J68*$A68+'ARR Model'!K$13</f>
        <v>506.944750030099</v>
      </c>
      <c r="L68" s="34" t="n">
        <f aca="false">K68*$A68+'ARR Model'!L$13</f>
        <v>536.3451975304</v>
      </c>
      <c r="M68" s="34" t="n">
        <f aca="false">SUMPRODUCT((B68:K68+C68:L68)/2*Inputs!$B$44,'ARR Model'!$C$9:$L$9,DCF!$C$5:$L$5)+AVERAGE(K68,L68)*Inputs!$B$44*'ARR Model'!$L$9*(1+Assumptions!$C$11)/(Assumptions!$C$10-Assumptions!$C$11)*DCF!$L$5</f>
        <v>1116.81515733125</v>
      </c>
      <c r="N68" s="30" t="n">
        <f aca="false">(M68+Inputs!$B$13-Inputs!$B$14)/Inputs!$B$9*Inputs!$B$6</f>
        <v>60.0895229247927</v>
      </c>
    </row>
    <row r="69" customFormat="false" ht="15" hidden="false" customHeight="false" outlineLevel="0" collapsed="false">
      <c r="A69" s="20" t="n">
        <v>1.005</v>
      </c>
      <c r="B69" s="33" t="n">
        <f aca="false">'ARR Model'!$B$15</f>
        <v>255.1</v>
      </c>
      <c r="C69" s="34" t="n">
        <f aca="false">B69*$A69+'ARR Model'!C$13</f>
        <v>280.7065</v>
      </c>
      <c r="D69" s="34" t="n">
        <f aca="false">C69*$A69+'ARR Model'!D$13</f>
        <v>306.4410325</v>
      </c>
      <c r="E69" s="34" t="n">
        <f aca="false">D69*$A69+'ARR Model'!E$13</f>
        <v>332.3042376625</v>
      </c>
      <c r="F69" s="34" t="n">
        <f aca="false">E69*$A69+'ARR Model'!F$13</f>
        <v>358.296758850812</v>
      </c>
      <c r="G69" s="34" t="n">
        <f aca="false">F69*$A69+'ARR Model'!G$13</f>
        <v>384.419242645067</v>
      </c>
      <c r="H69" s="34" t="n">
        <f aca="false">G69*$A69+'ARR Model'!H$13</f>
        <v>410.672338858292</v>
      </c>
      <c r="I69" s="34" t="n">
        <f aca="false">H69*$A69+'ARR Model'!I$13</f>
        <v>437.056700552583</v>
      </c>
      <c r="J69" s="34" t="n">
        <f aca="false">I69*$A69+'ARR Model'!J$13</f>
        <v>463.572984055346</v>
      </c>
      <c r="K69" s="34" t="n">
        <f aca="false">J69*$A69+'ARR Model'!K$13</f>
        <v>490.221848975623</v>
      </c>
      <c r="L69" s="34" t="n">
        <f aca="false">K69*$A69+'ARR Model'!L$13</f>
        <v>517.003958220501</v>
      </c>
      <c r="M69" s="34" t="n">
        <f aca="false">SUMPRODUCT((B69:K69+C69:L69)/2*Inputs!$B$44,'ARR Model'!$C$9:$L$9,DCF!$C$5:$L$5)+AVERAGE(K69,L69)*Inputs!$B$44*'ARR Model'!$L$9*(1+Assumptions!$C$11)/(Assumptions!$C$10-Assumptions!$C$11)*DCF!$L$5</f>
        <v>1086.07943626722</v>
      </c>
      <c r="N69" s="30" t="n">
        <f aca="false">(M69+Inputs!$B$13-Inputs!$B$14)/Inputs!$B$9*Inputs!$B$6</f>
        <v>58.366724481018</v>
      </c>
    </row>
    <row r="70" customFormat="false" ht="15" hidden="false" customHeight="false" outlineLevel="0" collapsed="false">
      <c r="A70" s="20" t="n">
        <v>1</v>
      </c>
      <c r="B70" s="33" t="n">
        <f aca="false">'ARR Model'!$B$15</f>
        <v>255.1</v>
      </c>
      <c r="C70" s="34" t="n">
        <f aca="false">B70*$A70+'ARR Model'!C$13</f>
        <v>279.431</v>
      </c>
      <c r="D70" s="34" t="n">
        <f aca="false">C70*$A70+'ARR Model'!D$13</f>
        <v>303.762</v>
      </c>
      <c r="E70" s="34" t="n">
        <f aca="false">D70*$A70+'ARR Model'!E$13</f>
        <v>328.093</v>
      </c>
      <c r="F70" s="34" t="n">
        <f aca="false">E70*$A70+'ARR Model'!F$13</f>
        <v>352.424</v>
      </c>
      <c r="G70" s="34" t="n">
        <f aca="false">F70*$A70+'ARR Model'!G$13</f>
        <v>376.755</v>
      </c>
      <c r="H70" s="34" t="n">
        <f aca="false">G70*$A70+'ARR Model'!H$13</f>
        <v>401.086</v>
      </c>
      <c r="I70" s="34" t="n">
        <f aca="false">H70*$A70+'ARR Model'!I$13</f>
        <v>425.417</v>
      </c>
      <c r="J70" s="34" t="n">
        <f aca="false">I70*$A70+'ARR Model'!J$13</f>
        <v>449.748</v>
      </c>
      <c r="K70" s="34" t="n">
        <f aca="false">J70*$A70+'ARR Model'!K$13</f>
        <v>474.079</v>
      </c>
      <c r="L70" s="34" t="n">
        <f aca="false">K70*$A70+'ARR Model'!L$13</f>
        <v>498.41</v>
      </c>
      <c r="M70" s="34" t="n">
        <f aca="false">SUMPRODUCT((B70:K70+C70:L70)/2*Inputs!$B$44,'ARR Model'!$C$9:$L$9,DCF!$C$5:$L$5)+AVERAGE(K70,L70)*Inputs!$B$44*'ARR Model'!$L$9*(1+Assumptions!$C$11)/(Assumptions!$C$10-Assumptions!$C$11)*DCF!$L$5</f>
        <v>1056.35261447401</v>
      </c>
      <c r="N70" s="30" t="n">
        <f aca="false">(M70+Inputs!$B$13-Inputs!$B$14)/Inputs!$B$9*Inputs!$B$6</f>
        <v>56.7004768528261</v>
      </c>
    </row>
    <row r="71" customFormat="false" ht="15" hidden="false" customHeight="false" outlineLevel="0" collapsed="false">
      <c r="A71" s="20" t="n">
        <v>0.995</v>
      </c>
      <c r="B71" s="33" t="n">
        <f aca="false">'ARR Model'!$B$15</f>
        <v>255.1</v>
      </c>
      <c r="C71" s="34" t="n">
        <f aca="false">B71*$A71+'ARR Model'!C$13</f>
        <v>278.1555</v>
      </c>
      <c r="D71" s="34" t="n">
        <f aca="false">C71*$A71+'ARR Model'!D$13</f>
        <v>301.0957225</v>
      </c>
      <c r="E71" s="34" t="n">
        <f aca="false">D71*$A71+'ARR Model'!E$13</f>
        <v>323.9212438875</v>
      </c>
      <c r="F71" s="34" t="n">
        <f aca="false">E71*$A71+'ARR Model'!F$13</f>
        <v>346.632637668063</v>
      </c>
      <c r="G71" s="34" t="n">
        <f aca="false">F71*$A71+'ARR Model'!G$13</f>
        <v>369.230474479722</v>
      </c>
      <c r="H71" s="34" t="n">
        <f aca="false">G71*$A71+'ARR Model'!H$13</f>
        <v>391.715322107324</v>
      </c>
      <c r="I71" s="34" t="n">
        <f aca="false">H71*$A71+'ARR Model'!I$13</f>
        <v>414.087745496787</v>
      </c>
      <c r="J71" s="34" t="n">
        <f aca="false">I71*$A71+'ARR Model'!J$13</f>
        <v>436.348306769303</v>
      </c>
      <c r="K71" s="34" t="n">
        <f aca="false">J71*$A71+'ARR Model'!K$13</f>
        <v>458.497565235457</v>
      </c>
      <c r="L71" s="34" t="n">
        <f aca="false">K71*$A71+'ARR Model'!L$13</f>
        <v>480.536077409279</v>
      </c>
      <c r="M71" s="34" t="n">
        <f aca="false">SUMPRODUCT((B71:K71+C71:L71)/2*Inputs!$B$44,'ARR Model'!$C$9:$L$9,DCF!$C$5:$L$5)+AVERAGE(K71,L71)*Inputs!$B$44*'ARR Model'!$L$9*(1+Assumptions!$C$11)/(Assumptions!$C$10-Assumptions!$C$11)*DCF!$L$5</f>
        <v>1027.60193529763</v>
      </c>
      <c r="N71" s="30" t="n">
        <f aca="false">(M71+Inputs!$B$13-Inputs!$B$14)/Inputs!$B$9*Inputs!$B$6</f>
        <v>55.0889439644535</v>
      </c>
    </row>
    <row r="72" customFormat="false" ht="15" hidden="false" customHeight="false" outlineLevel="0" collapsed="false">
      <c r="A72" s="20" t="n">
        <v>0.99</v>
      </c>
      <c r="B72" s="33" t="n">
        <f aca="false">'ARR Model'!$B$15</f>
        <v>255.1</v>
      </c>
      <c r="C72" s="34" t="n">
        <f aca="false">B72*$A72+'ARR Model'!C$13</f>
        <v>276.88</v>
      </c>
      <c r="D72" s="34" t="n">
        <f aca="false">C72*$A72+'ARR Model'!D$13</f>
        <v>298.4422</v>
      </c>
      <c r="E72" s="34" t="n">
        <f aca="false">D72*$A72+'ARR Model'!E$13</f>
        <v>319.788778</v>
      </c>
      <c r="F72" s="34" t="n">
        <f aca="false">E72*$A72+'ARR Model'!F$13</f>
        <v>340.92189022</v>
      </c>
      <c r="G72" s="34" t="n">
        <f aca="false">F72*$A72+'ARR Model'!G$13</f>
        <v>361.8436713178</v>
      </c>
      <c r="H72" s="34" t="n">
        <f aca="false">G72*$A72+'ARR Model'!H$13</f>
        <v>382.556234604622</v>
      </c>
      <c r="I72" s="34" t="n">
        <f aca="false">H72*$A72+'ARR Model'!I$13</f>
        <v>403.061672258576</v>
      </c>
      <c r="J72" s="34" t="n">
        <f aca="false">I72*$A72+'ARR Model'!J$13</f>
        <v>423.36205553599</v>
      </c>
      <c r="K72" s="34" t="n">
        <f aca="false">J72*$A72+'ARR Model'!K$13</f>
        <v>443.45943498063</v>
      </c>
      <c r="L72" s="34" t="n">
        <f aca="false">K72*$A72+'ARR Model'!L$13</f>
        <v>463.355840630824</v>
      </c>
      <c r="M72" s="34" t="n">
        <f aca="false">SUMPRODUCT((B72:K72+C72:L72)/2*Inputs!$B$44,'ARR Model'!$C$9:$L$9,DCF!$C$5:$L$5)+AVERAGE(K72,L72)*Inputs!$B$44*'ARR Model'!$L$9*(1+Assumptions!$C$11)/(Assumptions!$C$10-Assumptions!$C$11)*DCF!$L$5</f>
        <v>999.795619886249</v>
      </c>
      <c r="N72" s="30" t="n">
        <f aca="false">(M72+Inputs!$B$13-Inputs!$B$14)/Inputs!$B$9*Inputs!$B$6</f>
        <v>53.5303445478972</v>
      </c>
    </row>
    <row r="73" customFormat="false" ht="15" hidden="false" customHeight="false" outlineLevel="0" collapsed="false">
      <c r="A73" s="20" t="n">
        <v>0.985</v>
      </c>
      <c r="B73" s="33" t="n">
        <f aca="false">'ARR Model'!$B$15</f>
        <v>255.1</v>
      </c>
      <c r="C73" s="34" t="n">
        <f aca="false">B73*$A73+'ARR Model'!C$13</f>
        <v>275.6045</v>
      </c>
      <c r="D73" s="34" t="n">
        <f aca="false">C73*$A73+'ARR Model'!D$13</f>
        <v>295.8014325</v>
      </c>
      <c r="E73" s="34" t="n">
        <f aca="false">D73*$A73+'ARR Model'!E$13</f>
        <v>315.6954110125</v>
      </c>
      <c r="F73" s="34" t="n">
        <f aca="false">E73*$A73+'ARR Model'!F$13</f>
        <v>335.290979847313</v>
      </c>
      <c r="G73" s="34" t="n">
        <f aca="false">F73*$A73+'ARR Model'!G$13</f>
        <v>354.592615149603</v>
      </c>
      <c r="H73" s="34" t="n">
        <f aca="false">G73*$A73+'ARR Model'!H$13</f>
        <v>373.604725922359</v>
      </c>
      <c r="I73" s="34" t="n">
        <f aca="false">H73*$A73+'ARR Model'!I$13</f>
        <v>392.331655033524</v>
      </c>
      <c r="J73" s="34" t="n">
        <f aca="false">I73*$A73+'ARR Model'!J$13</f>
        <v>410.777680208021</v>
      </c>
      <c r="K73" s="34" t="n">
        <f aca="false">J73*$A73+'ARR Model'!K$13</f>
        <v>428.9470150049</v>
      </c>
      <c r="L73" s="34" t="n">
        <f aca="false">K73*$A73+'ARR Model'!L$13</f>
        <v>446.843809779827</v>
      </c>
      <c r="M73" s="34" t="n">
        <f aca="false">SUMPRODUCT((B73:K73+C73:L73)/2*Inputs!$B$44,'ARR Model'!$C$9:$L$9,DCF!$C$5:$L$5)+AVERAGE(K73,L73)*Inputs!$B$44*'ARR Model'!$L$9*(1+Assumptions!$C$11)/(Assumptions!$C$10-Assumptions!$C$11)*DCF!$L$5</f>
        <v>972.902841495286</v>
      </c>
      <c r="N73" s="30" t="n">
        <f aca="false">(M73+Inputs!$B$13-Inputs!$B$14)/Inputs!$B$9*Inputs!$B$6</f>
        <v>52.0229507026639</v>
      </c>
    </row>
    <row r="74" customFormat="false" ht="15" hidden="false" customHeight="false" outlineLevel="0" collapsed="false">
      <c r="A74" s="20" t="n">
        <v>0.98</v>
      </c>
      <c r="B74" s="33" t="n">
        <f aca="false">'ARR Model'!$B$15</f>
        <v>255.1</v>
      </c>
      <c r="C74" s="34" t="n">
        <f aca="false">B74*$A74+'ARR Model'!C$13</f>
        <v>274.329</v>
      </c>
      <c r="D74" s="34" t="n">
        <f aca="false">C74*$A74+'ARR Model'!D$13</f>
        <v>293.17342</v>
      </c>
      <c r="E74" s="34" t="n">
        <f aca="false">D74*$A74+'ARR Model'!E$13</f>
        <v>311.6409516</v>
      </c>
      <c r="F74" s="34" t="n">
        <f aca="false">E74*$A74+'ARR Model'!F$13</f>
        <v>329.739132568</v>
      </c>
      <c r="G74" s="34" t="n">
        <f aca="false">F74*$A74+'ARR Model'!G$13</f>
        <v>347.47534991664</v>
      </c>
      <c r="H74" s="34" t="n">
        <f aca="false">G74*$A74+'ARR Model'!H$13</f>
        <v>364.856842918307</v>
      </c>
      <c r="I74" s="34" t="n">
        <f aca="false">H74*$A74+'ARR Model'!I$13</f>
        <v>381.890706059941</v>
      </c>
      <c r="J74" s="34" t="n">
        <f aca="false">I74*$A74+'ARR Model'!J$13</f>
        <v>398.583891938742</v>
      </c>
      <c r="K74" s="34" t="n">
        <f aca="false">J74*$A74+'ARR Model'!K$13</f>
        <v>414.943214099968</v>
      </c>
      <c r="L74" s="34" t="n">
        <f aca="false">K74*$A74+'ARR Model'!L$13</f>
        <v>430.975349817968</v>
      </c>
      <c r="M74" s="34" t="n">
        <f aca="false">SUMPRODUCT((B74:K74+C74:L74)/2*Inputs!$B$44,'ARR Model'!$C$9:$L$9,DCF!$C$5:$L$5)+AVERAGE(K74,L74)*Inputs!$B$44*'ARR Model'!$L$9*(1+Assumptions!$C$11)/(Assumptions!$C$10-Assumptions!$C$11)*DCF!$L$5</f>
        <v>946.893700364085</v>
      </c>
      <c r="N74" s="30" t="n">
        <f aca="false">(M74+Inputs!$B$13-Inputs!$B$14)/Inputs!$B$9*Inputs!$B$6</f>
        <v>50.5650864875574</v>
      </c>
    </row>
    <row r="75" customFormat="false" ht="15" hidden="false" customHeight="false" outlineLevel="0" collapsed="false">
      <c r="A75" s="20" t="n">
        <v>0.975</v>
      </c>
      <c r="B75" s="33" t="n">
        <f aca="false">'ARR Model'!$B$15</f>
        <v>255.1</v>
      </c>
      <c r="C75" s="34" t="n">
        <f aca="false">B75*$A75+'ARR Model'!C$13</f>
        <v>273.0535</v>
      </c>
      <c r="D75" s="34" t="n">
        <f aca="false">C75*$A75+'ARR Model'!D$13</f>
        <v>290.5581625</v>
      </c>
      <c r="E75" s="34" t="n">
        <f aca="false">D75*$A75+'ARR Model'!E$13</f>
        <v>307.6252084375</v>
      </c>
      <c r="F75" s="34" t="n">
        <f aca="false">E75*$A75+'ARR Model'!F$13</f>
        <v>324.265578226562</v>
      </c>
      <c r="G75" s="34" t="n">
        <f aca="false">F75*$A75+'ARR Model'!G$13</f>
        <v>340.489938770898</v>
      </c>
      <c r="H75" s="34" t="n">
        <f aca="false">G75*$A75+'ARR Model'!H$13</f>
        <v>356.308690301626</v>
      </c>
      <c r="I75" s="34" t="n">
        <f aca="false">H75*$A75+'ARR Model'!I$13</f>
        <v>371.731973044085</v>
      </c>
      <c r="J75" s="34" t="n">
        <f aca="false">I75*$A75+'ARR Model'!J$13</f>
        <v>386.769673717983</v>
      </c>
      <c r="K75" s="34" t="n">
        <f aca="false">J75*$A75+'ARR Model'!K$13</f>
        <v>401.431431875034</v>
      </c>
      <c r="L75" s="34" t="n">
        <f aca="false">K75*$A75+'ARR Model'!L$13</f>
        <v>415.726646078158</v>
      </c>
      <c r="M75" s="34" t="n">
        <f aca="false">SUMPRODUCT((B75:K75+C75:L75)/2*Inputs!$B$44,'ARR Model'!$C$9:$L$9,DCF!$C$5:$L$5)+AVERAGE(K75,L75)*Inputs!$B$44*'ARR Model'!$L$9*(1+Assumptions!$C$11)/(Assumptions!$C$10-Assumptions!$C$11)*DCF!$L$5</f>
        <v>921.739199153918</v>
      </c>
      <c r="N75" s="30" t="n">
        <f aca="false">(M75+Inputs!$B$13-Inputs!$B$14)/Inputs!$B$9*Inputs!$B$6</f>
        <v>49.1551265439295</v>
      </c>
    </row>
    <row r="76" customFormat="false" ht="15" hidden="false" customHeight="false" outlineLevel="0" collapsed="false">
      <c r="A76" s="20" t="n">
        <v>0.97</v>
      </c>
      <c r="B76" s="33" t="n">
        <f aca="false">'ARR Model'!$B$15</f>
        <v>255.1</v>
      </c>
      <c r="C76" s="34" t="n">
        <f aca="false">B76*$A76+'ARR Model'!C$13</f>
        <v>271.778</v>
      </c>
      <c r="D76" s="34" t="n">
        <f aca="false">C76*$A76+'ARR Model'!D$13</f>
        <v>287.95566</v>
      </c>
      <c r="E76" s="34" t="n">
        <f aca="false">D76*$A76+'ARR Model'!E$13</f>
        <v>303.6479902</v>
      </c>
      <c r="F76" s="34" t="n">
        <f aca="false">E76*$A76+'ARR Model'!F$13</f>
        <v>318.869550494</v>
      </c>
      <c r="G76" s="34" t="n">
        <f aca="false">F76*$A76+'ARR Model'!G$13</f>
        <v>333.63446397918</v>
      </c>
      <c r="H76" s="34" t="n">
        <f aca="false">G76*$A76+'ARR Model'!H$13</f>
        <v>347.956430059805</v>
      </c>
      <c r="I76" s="34" t="n">
        <f aca="false">H76*$A76+'ARR Model'!I$13</f>
        <v>361.848737158011</v>
      </c>
      <c r="J76" s="34" t="n">
        <f aca="false">I76*$A76+'ARR Model'!J$13</f>
        <v>375.32427504327</v>
      </c>
      <c r="K76" s="34" t="n">
        <f aca="false">J76*$A76+'ARR Model'!K$13</f>
        <v>388.395546791972</v>
      </c>
      <c r="L76" s="34" t="n">
        <f aca="false">K76*$A76+'ARR Model'!L$13</f>
        <v>401.074680388213</v>
      </c>
      <c r="M76" s="34" t="n">
        <f aca="false">SUMPRODUCT((B76:K76+C76:L76)/2*Inputs!$B$44,'ARR Model'!$C$9:$L$9,DCF!$C$5:$L$5)+AVERAGE(K76,L76)*Inputs!$B$44*'ARR Model'!$L$9*(1+Assumptions!$C$11)/(Assumptions!$C$10-Assumptions!$C$11)*DCF!$L$5</f>
        <v>897.411218937176</v>
      </c>
      <c r="N76" s="30" t="n">
        <f aca="false">(M76+Inputs!$B$13-Inputs!$B$14)/Inputs!$B$9*Inputs!$B$6</f>
        <v>47.7914947498269</v>
      </c>
    </row>
    <row r="77" customFormat="false" ht="15" hidden="false" customHeight="false" outlineLevel="0" collapsed="false">
      <c r="A77" s="20" t="n">
        <v>0.965</v>
      </c>
      <c r="B77" s="33" t="n">
        <f aca="false">'ARR Model'!$B$15</f>
        <v>255.1</v>
      </c>
      <c r="C77" s="34" t="n">
        <f aca="false">B77*$A77+'ARR Model'!C$13</f>
        <v>270.5025</v>
      </c>
      <c r="D77" s="34" t="n">
        <f aca="false">C77*$A77+'ARR Model'!D$13</f>
        <v>285.3659125</v>
      </c>
      <c r="E77" s="34" t="n">
        <f aca="false">D77*$A77+'ARR Model'!E$13</f>
        <v>299.7091055625</v>
      </c>
      <c r="F77" s="34" t="n">
        <f aca="false">E77*$A77+'ARR Model'!F$13</f>
        <v>313.550286867813</v>
      </c>
      <c r="G77" s="34" t="n">
        <f aca="false">F77*$A77+'ARR Model'!G$13</f>
        <v>326.907026827439</v>
      </c>
      <c r="H77" s="34" t="n">
        <f aca="false">G77*$A77+'ARR Model'!H$13</f>
        <v>339.796280888479</v>
      </c>
      <c r="I77" s="34" t="n">
        <f aca="false">H77*$A77+'ARR Model'!I$13</f>
        <v>352.234411057382</v>
      </c>
      <c r="J77" s="34" t="n">
        <f aca="false">I77*$A77+'ARR Model'!J$13</f>
        <v>364.237206670374</v>
      </c>
      <c r="K77" s="34" t="n">
        <f aca="false">J77*$A77+'ARR Model'!K$13</f>
        <v>375.81990443691</v>
      </c>
      <c r="L77" s="34" t="n">
        <f aca="false">K77*$A77+'ARR Model'!L$13</f>
        <v>386.997207781619</v>
      </c>
      <c r="M77" s="34" t="n">
        <f aca="false">SUMPRODUCT((B77:K77+C77:L77)/2*Inputs!$B$44,'ARR Model'!$C$9:$L$9,DCF!$C$5:$L$5)+AVERAGE(K77,L77)*Inputs!$B$44*'ARR Model'!$L$9*(1+Assumptions!$C$11)/(Assumptions!$C$10-Assumptions!$C$11)*DCF!$L$5</f>
        <v>873.882495727761</v>
      </c>
      <c r="N77" s="30" t="n">
        <f aca="false">(M77+Inputs!$B$13-Inputs!$B$14)/Inputs!$B$9*Inputs!$B$6</f>
        <v>46.4726629044721</v>
      </c>
    </row>
    <row r="78" customFormat="false" ht="15" hidden="false" customHeight="false" outlineLevel="0" collapsed="false">
      <c r="A78" s="20" t="n">
        <v>0.96</v>
      </c>
      <c r="B78" s="33" t="n">
        <f aca="false">'ARR Model'!$B$15</f>
        <v>255.1</v>
      </c>
      <c r="C78" s="34" t="n">
        <f aca="false">B78*$A78+'ARR Model'!C$13</f>
        <v>269.227</v>
      </c>
      <c r="D78" s="34" t="n">
        <f aca="false">C78*$A78+'ARR Model'!D$13</f>
        <v>282.78892</v>
      </c>
      <c r="E78" s="34" t="n">
        <f aca="false">D78*$A78+'ARR Model'!E$13</f>
        <v>295.8083632</v>
      </c>
      <c r="F78" s="34" t="n">
        <f aca="false">E78*$A78+'ARR Model'!F$13</f>
        <v>308.307028672</v>
      </c>
      <c r="G78" s="34" t="n">
        <f aca="false">F78*$A78+'ARR Model'!G$13</f>
        <v>320.30574752512</v>
      </c>
      <c r="H78" s="34" t="n">
        <f aca="false">G78*$A78+'ARR Model'!H$13</f>
        <v>331.824517624115</v>
      </c>
      <c r="I78" s="34" t="n">
        <f aca="false">H78*$A78+'ARR Model'!I$13</f>
        <v>342.882536919151</v>
      </c>
      <c r="J78" s="34" t="n">
        <f aca="false">I78*$A78+'ARR Model'!J$13</f>
        <v>353.498235442385</v>
      </c>
      <c r="K78" s="34" t="n">
        <f aca="false">J78*$A78+'ARR Model'!K$13</f>
        <v>363.689306024689</v>
      </c>
      <c r="L78" s="34" t="n">
        <f aca="false">K78*$A78+'ARR Model'!L$13</f>
        <v>373.472733783702</v>
      </c>
      <c r="M78" s="34" t="n">
        <f aca="false">SUMPRODUCT((B78:K78+C78:L78)/2*Inputs!$B$44,'ARR Model'!$C$9:$L$9,DCF!$C$5:$L$5)+AVERAGE(K78,L78)*Inputs!$B$44*'ARR Model'!$L$9*(1+Assumptions!$C$11)/(Assumptions!$C$10-Assumptions!$C$11)*DCF!$L$5</f>
        <v>851.126597542818</v>
      </c>
      <c r="N78" s="30" t="n">
        <f aca="false">(M78+Inputs!$B$13-Inputs!$B$14)/Inputs!$B$9*Inputs!$B$6</f>
        <v>45.1971494425286</v>
      </c>
    </row>
    <row r="79" customFormat="false" ht="15" hidden="false" customHeight="false" outlineLevel="0" collapsed="false">
      <c r="A79" s="20" t="n">
        <v>0.955</v>
      </c>
      <c r="B79" s="33" t="n">
        <f aca="false">'ARR Model'!$B$15</f>
        <v>255.1</v>
      </c>
      <c r="C79" s="34" t="n">
        <f aca="false">B79*$A79+'ARR Model'!C$13</f>
        <v>267.9515</v>
      </c>
      <c r="D79" s="34" t="n">
        <f aca="false">C79*$A79+'ARR Model'!D$13</f>
        <v>280.2246825</v>
      </c>
      <c r="E79" s="34" t="n">
        <f aca="false">D79*$A79+'ARR Model'!E$13</f>
        <v>291.9455717875</v>
      </c>
      <c r="F79" s="34" t="n">
        <f aca="false">E79*$A79+'ARR Model'!F$13</f>
        <v>303.139021057063</v>
      </c>
      <c r="G79" s="34" t="n">
        <f aca="false">F79*$A79+'ARR Model'!G$13</f>
        <v>313.828765109495</v>
      </c>
      <c r="H79" s="34" t="n">
        <f aca="false">G79*$A79+'ARR Model'!H$13</f>
        <v>324.037470679568</v>
      </c>
      <c r="I79" s="34" t="n">
        <f aca="false">H79*$A79+'ARR Model'!I$13</f>
        <v>333.786784498987</v>
      </c>
      <c r="J79" s="34" t="n">
        <f aca="false">I79*$A79+'ARR Model'!J$13</f>
        <v>343.097379196533</v>
      </c>
      <c r="K79" s="34" t="n">
        <f aca="false">J79*$A79+'ARR Model'!K$13</f>
        <v>351.988997132689</v>
      </c>
      <c r="L79" s="34" t="n">
        <f aca="false">K79*$A79+'ARR Model'!L$13</f>
        <v>360.480492261718</v>
      </c>
      <c r="M79" s="34" t="n">
        <f aca="false">SUMPRODUCT((B79:K79+C79:L79)/2*Inputs!$B$44,'ARR Model'!$C$9:$L$9,DCF!$C$5:$L$5)+AVERAGE(K79,L79)*Inputs!$B$44*'ARR Model'!$L$9*(1+Assumptions!$C$11)/(Assumptions!$C$10-Assumptions!$C$11)*DCF!$L$5</f>
        <v>829.117901986097</v>
      </c>
      <c r="N79" s="30" t="n">
        <f aca="false">(M79+Inputs!$B$13-Inputs!$B$14)/Inputs!$B$9*Inputs!$B$6</f>
        <v>43.9635181776027</v>
      </c>
    </row>
    <row r="80" customFormat="false" ht="15" hidden="false" customHeight="false" outlineLevel="0" collapsed="false">
      <c r="A80" s="20" t="n">
        <v>0.95</v>
      </c>
      <c r="B80" s="33" t="n">
        <f aca="false">'ARR Model'!$B$15</f>
        <v>255.1</v>
      </c>
      <c r="C80" s="34" t="n">
        <f aca="false">B80*$A80+'ARR Model'!C$13</f>
        <v>266.676</v>
      </c>
      <c r="D80" s="34" t="n">
        <f aca="false">C80*$A80+'ARR Model'!D$13</f>
        <v>277.6732</v>
      </c>
      <c r="E80" s="34" t="n">
        <f aca="false">D80*$A80+'ARR Model'!E$13</f>
        <v>288.12054</v>
      </c>
      <c r="F80" s="34" t="n">
        <f aca="false">E80*$A80+'ARR Model'!F$13</f>
        <v>298.045513</v>
      </c>
      <c r="G80" s="34" t="n">
        <f aca="false">F80*$A80+'ARR Model'!G$13</f>
        <v>307.47423735</v>
      </c>
      <c r="H80" s="34" t="n">
        <f aca="false">G80*$A80+'ARR Model'!H$13</f>
        <v>316.4315254825</v>
      </c>
      <c r="I80" s="34" t="n">
        <f aca="false">H80*$A80+'ARR Model'!I$13</f>
        <v>324.940949208375</v>
      </c>
      <c r="J80" s="34" t="n">
        <f aca="false">I80*$A80+'ARR Model'!J$13</f>
        <v>333.024901747956</v>
      </c>
      <c r="K80" s="34" t="n">
        <f aca="false">J80*$A80+'ARR Model'!K$13</f>
        <v>340.704656660558</v>
      </c>
      <c r="L80" s="34" t="n">
        <f aca="false">K80*$A80+'ARR Model'!L$13</f>
        <v>348.000423827531</v>
      </c>
      <c r="M80" s="34" t="n">
        <f aca="false">SUMPRODUCT((B80:K80+C80:L80)/2*Inputs!$B$44,'ARR Model'!$C$9:$L$9,DCF!$C$5:$L$5)+AVERAGE(K80,L80)*Inputs!$B$44*'ARR Model'!$L$9*(1+Assumptions!$C$11)/(Assumptions!$C$10-Assumptions!$C$11)*DCF!$L$5</f>
        <v>807.83157434334</v>
      </c>
      <c r="N80" s="30" t="n">
        <f aca="false">(M80+Inputs!$B$13-Inputs!$B$14)/Inputs!$B$9*Inputs!$B$6</f>
        <v>42.7703770744472</v>
      </c>
    </row>
    <row r="81" customFormat="false" ht="15" hidden="false" customHeight="false" outlineLevel="0" collapsed="false">
      <c r="A81" s="20" t="n">
        <v>0.945</v>
      </c>
      <c r="B81" s="33" t="n">
        <f aca="false">'ARR Model'!$B$15</f>
        <v>255.1</v>
      </c>
      <c r="C81" s="34" t="n">
        <f aca="false">B81*$A81+'ARR Model'!C$13</f>
        <v>265.4005</v>
      </c>
      <c r="D81" s="34" t="n">
        <f aca="false">C81*$A81+'ARR Model'!D$13</f>
        <v>275.1344725</v>
      </c>
      <c r="E81" s="34" t="n">
        <f aca="false">D81*$A81+'ARR Model'!E$13</f>
        <v>284.3330765125</v>
      </c>
      <c r="F81" s="34" t="n">
        <f aca="false">E81*$A81+'ARR Model'!F$13</f>
        <v>293.025757304313</v>
      </c>
      <c r="G81" s="34" t="n">
        <f aca="false">F81*$A81+'ARR Model'!G$13</f>
        <v>301.240340652575</v>
      </c>
      <c r="H81" s="34" t="n">
        <f aca="false">G81*$A81+'ARR Model'!H$13</f>
        <v>309.003121916684</v>
      </c>
      <c r="I81" s="34" t="n">
        <f aca="false">H81*$A81+'ARR Model'!I$13</f>
        <v>316.338950211266</v>
      </c>
      <c r="J81" s="34" t="n">
        <f aca="false">I81*$A81+'ARR Model'!J$13</f>
        <v>323.271307949646</v>
      </c>
      <c r="K81" s="34" t="n">
        <f aca="false">J81*$A81+'ARR Model'!K$13</f>
        <v>329.822386012416</v>
      </c>
      <c r="L81" s="34" t="n">
        <f aca="false">K81*$A81+'ARR Model'!L$13</f>
        <v>336.013154781733</v>
      </c>
      <c r="M81" s="34" t="n">
        <f aca="false">SUMPRODUCT((B81:K81+C81:L81)/2*Inputs!$B$44,'ARR Model'!$C$9:$L$9,DCF!$C$5:$L$5)+AVERAGE(K81,L81)*Inputs!$B$44*'ARR Model'!$L$9*(1+Assumptions!$C$11)/(Assumptions!$C$10-Assumptions!$C$11)*DCF!$L$5</f>
        <v>787.243546180261</v>
      </c>
      <c r="N81" s="30" t="n">
        <f aca="false">(M81+Inputs!$B$13-Inputs!$B$14)/Inputs!$B$9*Inputs!$B$6</f>
        <v>41.6163770493347</v>
      </c>
    </row>
    <row r="82" customFormat="false" ht="15" hidden="false" customHeight="false" outlineLevel="0" collapsed="false">
      <c r="A82" s="20" t="n">
        <v>0.94</v>
      </c>
      <c r="B82" s="33" t="n">
        <f aca="false">'ARR Model'!$B$15</f>
        <v>255.1</v>
      </c>
      <c r="C82" s="34" t="n">
        <f aca="false">B82*$A82+'ARR Model'!C$13</f>
        <v>264.125</v>
      </c>
      <c r="D82" s="34" t="n">
        <f aca="false">C82*$A82+'ARR Model'!D$13</f>
        <v>272.6085</v>
      </c>
      <c r="E82" s="34" t="n">
        <f aca="false">D82*$A82+'ARR Model'!E$13</f>
        <v>280.58299</v>
      </c>
      <c r="F82" s="34" t="n">
        <f aca="false">E82*$A82+'ARR Model'!F$13</f>
        <v>288.0790106</v>
      </c>
      <c r="G82" s="34" t="n">
        <f aca="false">F82*$A82+'ARR Model'!G$13</f>
        <v>295.125269964</v>
      </c>
      <c r="H82" s="34" t="n">
        <f aca="false">G82*$A82+'ARR Model'!H$13</f>
        <v>301.74875376616</v>
      </c>
      <c r="I82" s="34" t="n">
        <f aca="false">H82*$A82+'ARR Model'!I$13</f>
        <v>307.97482854019</v>
      </c>
      <c r="J82" s="34" t="n">
        <f aca="false">I82*$A82+'ARR Model'!J$13</f>
        <v>313.827338827779</v>
      </c>
      <c r="K82" s="34" t="n">
        <f aca="false">J82*$A82+'ARR Model'!K$13</f>
        <v>319.328698498112</v>
      </c>
      <c r="L82" s="34" t="n">
        <f aca="false">K82*$A82+'ARR Model'!L$13</f>
        <v>324.499976588226</v>
      </c>
      <c r="M82" s="34" t="n">
        <f aca="false">SUMPRODUCT((B82:K82+C82:L82)/2*Inputs!$B$44,'ARR Model'!$C$9:$L$9,DCF!$C$5:$L$5)+AVERAGE(K82,L82)*Inputs!$B$44*'ARR Model'!$L$9*(1+Assumptions!$C$11)/(Assumptions!$C$10-Assumptions!$C$11)*DCF!$L$5</f>
        <v>767.330494433779</v>
      </c>
      <c r="N82" s="30" t="n">
        <f aca="false">(M82+Inputs!$B$13-Inputs!$B$14)/Inputs!$B$9*Inputs!$B$6</f>
        <v>40.5002107980802</v>
      </c>
    </row>
    <row r="83" customFormat="false" ht="15" hidden="false" customHeight="false" outlineLevel="0" collapsed="false">
      <c r="A83" s="20" t="n">
        <v>0.935</v>
      </c>
      <c r="B83" s="33" t="n">
        <f aca="false">'ARR Model'!$B$15</f>
        <v>255.1</v>
      </c>
      <c r="C83" s="34" t="n">
        <f aca="false">B83*$A83+'ARR Model'!C$13</f>
        <v>262.8495</v>
      </c>
      <c r="D83" s="34" t="n">
        <f aca="false">C83*$A83+'ARR Model'!D$13</f>
        <v>270.0952825</v>
      </c>
      <c r="E83" s="34" t="n">
        <f aca="false">D83*$A83+'ARR Model'!E$13</f>
        <v>276.8700891375</v>
      </c>
      <c r="F83" s="34" t="n">
        <f aca="false">E83*$A83+'ARR Model'!F$13</f>
        <v>283.204533343563</v>
      </c>
      <c r="G83" s="34" t="n">
        <f aca="false">F83*$A83+'ARR Model'!G$13</f>
        <v>289.127238676231</v>
      </c>
      <c r="H83" s="34" t="n">
        <f aca="false">G83*$A83+'ARR Model'!H$13</f>
        <v>294.664968162276</v>
      </c>
      <c r="I83" s="34" t="n">
        <f aca="false">H83*$A83+'ARR Model'!I$13</f>
        <v>299.842745231728</v>
      </c>
      <c r="J83" s="34" t="n">
        <f aca="false">I83*$A83+'ARR Model'!J$13</f>
        <v>304.683966791666</v>
      </c>
      <c r="K83" s="34" t="n">
        <f aca="false">J83*$A83+'ARR Model'!K$13</f>
        <v>309.210508950208</v>
      </c>
      <c r="L83" s="34" t="n">
        <f aca="false">K83*$A83+'ARR Model'!L$13</f>
        <v>313.442825868444</v>
      </c>
      <c r="M83" s="34" t="n">
        <f aca="false">SUMPRODUCT((B83:K83+C83:L83)/2*Inputs!$B$44,'ARR Model'!$C$9:$L$9,DCF!$C$5:$L$5)+AVERAGE(K83,L83)*Inputs!$B$44*'ARR Model'!$L$9*(1+Assumptions!$C$11)/(Assumptions!$C$10-Assumptions!$C$11)*DCF!$L$5</f>
        <v>748.069820987323</v>
      </c>
      <c r="N83" s="30" t="n">
        <f aca="false">(M83+Inputs!$B$13-Inputs!$B$14)/Inputs!$B$9*Inputs!$B$6</f>
        <v>39.4206116511958</v>
      </c>
    </row>
    <row r="84" customFormat="false" ht="15" hidden="false" customHeight="false" outlineLevel="0" collapsed="false">
      <c r="A84" s="20" t="n">
        <v>0.93</v>
      </c>
      <c r="B84" s="33" t="n">
        <f aca="false">'ARR Model'!$B$15</f>
        <v>255.1</v>
      </c>
      <c r="C84" s="34" t="n">
        <f aca="false">B84*$A84+'ARR Model'!C$13</f>
        <v>261.574</v>
      </c>
      <c r="D84" s="34" t="n">
        <f aca="false">C84*$A84+'ARR Model'!D$13</f>
        <v>267.59482</v>
      </c>
      <c r="E84" s="34" t="n">
        <f aca="false">D84*$A84+'ARR Model'!E$13</f>
        <v>273.1941826</v>
      </c>
      <c r="F84" s="34" t="n">
        <f aca="false">E84*$A84+'ARR Model'!F$13</f>
        <v>278.401589818</v>
      </c>
      <c r="G84" s="34" t="n">
        <f aca="false">F84*$A84+'ARR Model'!G$13</f>
        <v>283.24447853074</v>
      </c>
      <c r="H84" s="34" t="n">
        <f aca="false">G84*$A84+'ARR Model'!H$13</f>
        <v>287.748365033588</v>
      </c>
      <c r="I84" s="34" t="n">
        <f aca="false">H84*$A84+'ARR Model'!I$13</f>
        <v>291.936979481237</v>
      </c>
      <c r="J84" s="34" t="n">
        <f aca="false">I84*$A84+'ARR Model'!J$13</f>
        <v>295.832390917551</v>
      </c>
      <c r="K84" s="34" t="n">
        <f aca="false">J84*$A84+'ARR Model'!K$13</f>
        <v>299.455123553322</v>
      </c>
      <c r="L84" s="34" t="n">
        <f aca="false">K84*$A84+'ARR Model'!L$13</f>
        <v>302.82426490459</v>
      </c>
      <c r="M84" s="34" t="n">
        <f aca="false">SUMPRODUCT((B84:K84+C84:L84)/2*Inputs!$B$44,'ARR Model'!$C$9:$L$9,DCF!$C$5:$L$5)+AVERAGE(K84,L84)*Inputs!$B$44*'ARR Model'!$L$9*(1+Assumptions!$C$11)/(Assumptions!$C$10-Assumptions!$C$11)*DCF!$L$5</f>
        <v>729.439632721144</v>
      </c>
      <c r="N84" s="30" t="n">
        <f aca="false">(M84+Inputs!$B$13-Inputs!$B$14)/Inputs!$B$9*Inputs!$B$6</f>
        <v>38.3763524556709</v>
      </c>
    </row>
    <row r="85" customFormat="false" ht="15" hidden="false" customHeight="false" outlineLevel="0" collapsed="false">
      <c r="A85" s="20" t="n">
        <v>0.925</v>
      </c>
      <c r="B85" s="33" t="n">
        <f aca="false">'ARR Model'!$B$15</f>
        <v>255.1</v>
      </c>
      <c r="C85" s="34" t="n">
        <f aca="false">B85*$A85+'ARR Model'!C$13</f>
        <v>260.2985</v>
      </c>
      <c r="D85" s="34" t="n">
        <f aca="false">C85*$A85+'ARR Model'!D$13</f>
        <v>265.1071125</v>
      </c>
      <c r="E85" s="34" t="n">
        <f aca="false">D85*$A85+'ARR Model'!E$13</f>
        <v>269.5550790625</v>
      </c>
      <c r="F85" s="34" t="n">
        <f aca="false">E85*$A85+'ARR Model'!F$13</f>
        <v>273.669448132813</v>
      </c>
      <c r="G85" s="34" t="n">
        <f aca="false">F85*$A85+'ARR Model'!G$13</f>
        <v>277.475239522852</v>
      </c>
      <c r="H85" s="34" t="n">
        <f aca="false">G85*$A85+'ARR Model'!H$13</f>
        <v>280.995596558638</v>
      </c>
      <c r="I85" s="34" t="n">
        <f aca="false">H85*$A85+'ARR Model'!I$13</f>
        <v>284.25192681674</v>
      </c>
      <c r="J85" s="34" t="n">
        <f aca="false">I85*$A85+'ARR Model'!J$13</f>
        <v>287.264032305485</v>
      </c>
      <c r="K85" s="34" t="n">
        <f aca="false">J85*$A85+'ARR Model'!K$13</f>
        <v>290.050229882573</v>
      </c>
      <c r="L85" s="34" t="n">
        <f aca="false">K85*$A85+'ARR Model'!L$13</f>
        <v>292.62746264138</v>
      </c>
      <c r="M85" s="34" t="n">
        <f aca="false">SUMPRODUCT((B85:K85+C85:L85)/2*Inputs!$B$44,'ARR Model'!$C$9:$L$9,DCF!$C$5:$L$5)+AVERAGE(K85,L85)*Inputs!$B$44*'ARR Model'!$L$9*(1+Assumptions!$C$11)/(Assumptions!$C$10-Assumptions!$C$11)*DCF!$L$5</f>
        <v>711.418722028703</v>
      </c>
      <c r="N85" s="30" t="n">
        <f aca="false">(M85+Inputs!$B$13-Inputs!$B$14)/Inputs!$B$9*Inputs!$B$6</f>
        <v>37.3662444828772</v>
      </c>
    </row>
    <row r="86" customFormat="false" ht="15" hidden="false" customHeight="false" outlineLevel="0" collapsed="false">
      <c r="A86" s="20" t="n">
        <v>0.92</v>
      </c>
      <c r="B86" s="33" t="n">
        <f aca="false">'ARR Model'!$B$15</f>
        <v>255.1</v>
      </c>
      <c r="C86" s="34" t="n">
        <f aca="false">B86*$A86+'ARR Model'!C$13</f>
        <v>259.023</v>
      </c>
      <c r="D86" s="34" t="n">
        <f aca="false">C86*$A86+'ARR Model'!D$13</f>
        <v>262.63216</v>
      </c>
      <c r="E86" s="34" t="n">
        <f aca="false">D86*$A86+'ARR Model'!E$13</f>
        <v>265.9525872</v>
      </c>
      <c r="F86" s="34" t="n">
        <f aca="false">E86*$A86+'ARR Model'!F$13</f>
        <v>269.007380224</v>
      </c>
      <c r="G86" s="34" t="n">
        <f aca="false">F86*$A86+'ARR Model'!G$13</f>
        <v>271.81778980608</v>
      </c>
      <c r="H86" s="34" t="n">
        <f aca="false">G86*$A86+'ARR Model'!H$13</f>
        <v>274.403366621594</v>
      </c>
      <c r="I86" s="34" t="n">
        <f aca="false">H86*$A86+'ARR Model'!I$13</f>
        <v>276.782097291866</v>
      </c>
      <c r="J86" s="34" t="n">
        <f aca="false">I86*$A86+'ARR Model'!J$13</f>
        <v>278.970529508517</v>
      </c>
      <c r="K86" s="34" t="n">
        <f aca="false">J86*$A86+'ARR Model'!K$13</f>
        <v>280.983887147836</v>
      </c>
      <c r="L86" s="34" t="n">
        <f aca="false">K86*$A86+'ARR Model'!L$13</f>
        <v>282.836176176009</v>
      </c>
      <c r="M86" s="34" t="n">
        <f aca="false">SUMPRODUCT((B86:K86+C86:L86)/2*Inputs!$B$44,'ARR Model'!$C$9:$L$9,DCF!$C$5:$L$5)+AVERAGE(K86,L86)*Inputs!$B$44*'ARR Model'!$L$9*(1+Assumptions!$C$11)/(Assumptions!$C$10-Assumptions!$C$11)*DCF!$L$5</f>
        <v>693.986547790315</v>
      </c>
      <c r="N86" s="30" t="n">
        <f aca="false">(M86+Inputs!$B$13-Inputs!$B$14)/Inputs!$B$9*Inputs!$B$6</f>
        <v>36.3891363621035</v>
      </c>
    </row>
    <row r="87" customFormat="false" ht="15" hidden="false" customHeight="false" outlineLevel="0" collapsed="false">
      <c r="A87" s="20" t="n">
        <v>0.915</v>
      </c>
      <c r="B87" s="33" t="n">
        <f aca="false">'ARR Model'!$B$15</f>
        <v>255.1</v>
      </c>
      <c r="C87" s="34" t="n">
        <f aca="false">B87*$A87+'ARR Model'!C$13</f>
        <v>257.7475</v>
      </c>
      <c r="D87" s="34" t="n">
        <f aca="false">C87*$A87+'ARR Model'!D$13</f>
        <v>260.1699625</v>
      </c>
      <c r="E87" s="34" t="n">
        <f aca="false">D87*$A87+'ARR Model'!E$13</f>
        <v>262.3865156875</v>
      </c>
      <c r="F87" s="34" t="n">
        <f aca="false">E87*$A87+'ARR Model'!F$13</f>
        <v>264.414661854063</v>
      </c>
      <c r="G87" s="34" t="n">
        <f aca="false">F87*$A87+'ARR Model'!G$13</f>
        <v>266.270415596467</v>
      </c>
      <c r="H87" s="34" t="n">
        <f aca="false">G87*$A87+'ARR Model'!H$13</f>
        <v>267.968430270768</v>
      </c>
      <c r="I87" s="34" t="n">
        <f aca="false">H87*$A87+'ARR Model'!I$13</f>
        <v>269.522113697752</v>
      </c>
      <c r="J87" s="34" t="n">
        <f aca="false">I87*$A87+'ARR Model'!J$13</f>
        <v>270.943734033443</v>
      </c>
      <c r="K87" s="34" t="n">
        <f aca="false">J87*$A87+'ARR Model'!K$13</f>
        <v>272.244516640601</v>
      </c>
      <c r="L87" s="34" t="n">
        <f aca="false">K87*$A87+'ARR Model'!L$13</f>
        <v>273.43473272615</v>
      </c>
      <c r="M87" s="34" t="n">
        <f aca="false">SUMPRODUCT((B87:K87+C87:L87)/2*Inputs!$B$44,'ARR Model'!$C$9:$L$9,DCF!$C$5:$L$5)+AVERAGE(K87,L87)*Inputs!$B$44*'ARR Model'!$L$9*(1+Assumptions!$C$11)/(Assumptions!$C$10-Assumptions!$C$11)*DCF!$L$5</f>
        <v>677.123216795391</v>
      </c>
      <c r="N87" s="30" t="n">
        <f aca="false">(M87+Inputs!$B$13-Inputs!$B$14)/Inputs!$B$9*Inputs!$B$6</f>
        <v>35.4439130392346</v>
      </c>
    </row>
    <row r="88" customFormat="false" ht="15" hidden="false" customHeight="false" outlineLevel="0" collapsed="false">
      <c r="A88" s="20" t="n">
        <v>0.91</v>
      </c>
      <c r="B88" s="33" t="n">
        <f aca="false">'ARR Model'!$B$15</f>
        <v>255.1</v>
      </c>
      <c r="C88" s="34" t="n">
        <f aca="false">B88*$A88+'ARR Model'!C$13</f>
        <v>256.472</v>
      </c>
      <c r="D88" s="34" t="n">
        <f aca="false">C88*$A88+'ARR Model'!D$13</f>
        <v>257.72052</v>
      </c>
      <c r="E88" s="34" t="n">
        <f aca="false">D88*$A88+'ARR Model'!E$13</f>
        <v>258.8566732</v>
      </c>
      <c r="F88" s="34" t="n">
        <f aca="false">E88*$A88+'ARR Model'!F$13</f>
        <v>259.890572612</v>
      </c>
      <c r="G88" s="34" t="n">
        <f aca="false">F88*$A88+'ARR Model'!G$13</f>
        <v>260.83142107692</v>
      </c>
      <c r="H88" s="34" t="n">
        <f aca="false">G88*$A88+'ARR Model'!H$13</f>
        <v>261.687593179997</v>
      </c>
      <c r="I88" s="34" t="n">
        <f aca="false">H88*$A88+'ARR Model'!I$13</f>
        <v>262.466709793798</v>
      </c>
      <c r="J88" s="34" t="n">
        <f aca="false">I88*$A88+'ARR Model'!J$13</f>
        <v>263.175705912356</v>
      </c>
      <c r="K88" s="34" t="n">
        <f aca="false">J88*$A88+'ARR Model'!K$13</f>
        <v>263.820892380244</v>
      </c>
      <c r="L88" s="34" t="n">
        <f aca="false">K88*$A88+'ARR Model'!L$13</f>
        <v>264.408012066022</v>
      </c>
      <c r="M88" s="34" t="n">
        <f aca="false">SUMPRODUCT((B88:K88+C88:L88)/2*Inputs!$B$44,'ARR Model'!$C$9:$L$9,DCF!$C$5:$L$5)+AVERAGE(K88,L88)*Inputs!$B$44*'ARR Model'!$L$9*(1+Assumptions!$C$11)/(Assumptions!$C$10-Assumptions!$C$11)*DCF!$L$5</f>
        <v>660.809465604688</v>
      </c>
      <c r="N88" s="30" t="n">
        <f aca="false">(M88+Inputs!$B$13-Inputs!$B$14)/Inputs!$B$9*Inputs!$B$6</f>
        <v>34.5294947600956</v>
      </c>
    </row>
    <row r="89" customFormat="false" ht="15" hidden="false" customHeight="false" outlineLevel="0" collapsed="false">
      <c r="A89" s="20" t="n">
        <v>0.905</v>
      </c>
      <c r="B89" s="33" t="n">
        <f aca="false">'ARR Model'!$B$15</f>
        <v>255.1</v>
      </c>
      <c r="C89" s="34" t="n">
        <f aca="false">B89*$A89+'ARR Model'!C$13</f>
        <v>255.1965</v>
      </c>
      <c r="D89" s="34" t="n">
        <f aca="false">C89*$A89+'ARR Model'!D$13</f>
        <v>255.2838325</v>
      </c>
      <c r="E89" s="34" t="n">
        <f aca="false">D89*$A89+'ARR Model'!E$13</f>
        <v>255.3628684125</v>
      </c>
      <c r="F89" s="34" t="n">
        <f aca="false">E89*$A89+'ARR Model'!F$13</f>
        <v>255.434395913313</v>
      </c>
      <c r="G89" s="34" t="n">
        <f aca="false">F89*$A89+'ARR Model'!G$13</f>
        <v>255.499128301548</v>
      </c>
      <c r="H89" s="34" t="n">
        <f aca="false">G89*$A89+'ARR Model'!H$13</f>
        <v>255.557711112901</v>
      </c>
      <c r="I89" s="34" t="n">
        <f aca="false">H89*$A89+'ARR Model'!I$13</f>
        <v>255.610728557175</v>
      </c>
      <c r="J89" s="34" t="n">
        <f aca="false">I89*$A89+'ARR Model'!J$13</f>
        <v>255.658709344244</v>
      </c>
      <c r="K89" s="34" t="n">
        <f aca="false">J89*$A89+'ARR Model'!K$13</f>
        <v>255.70213195654</v>
      </c>
      <c r="L89" s="34" t="n">
        <f aca="false">K89*$A89+'ARR Model'!L$13</f>
        <v>255.741429420669</v>
      </c>
      <c r="M89" s="34" t="n">
        <f aca="false">SUMPRODUCT((B89:K89+C89:L89)/2*Inputs!$B$44,'ARR Model'!$C$9:$L$9,DCF!$C$5:$L$5)+AVERAGE(K89,L89)*Inputs!$B$44*'ARR Model'!$L$9*(1+Assumptions!$C$11)/(Assumptions!$C$10-Assumptions!$C$11)*DCF!$L$5</f>
        <v>645.026642844173</v>
      </c>
      <c r="N89" s="30" t="n">
        <f aca="false">(M89+Inputs!$B$13-Inputs!$B$14)/Inputs!$B$9*Inputs!$B$6</f>
        <v>33.6448360779862</v>
      </c>
    </row>
    <row r="90" customFormat="false" ht="15" hidden="false" customHeight="false" outlineLevel="0" collapsed="false">
      <c r="A90" s="20" t="n">
        <v>0.9</v>
      </c>
      <c r="B90" s="33" t="n">
        <f aca="false">'ARR Model'!$B$15</f>
        <v>255.1</v>
      </c>
      <c r="C90" s="34" t="n">
        <f aca="false">B90*$A90+'ARR Model'!C$13</f>
        <v>253.921</v>
      </c>
      <c r="D90" s="34" t="n">
        <f aca="false">C90*$A90+'ARR Model'!D$13</f>
        <v>252.8599</v>
      </c>
      <c r="E90" s="34" t="n">
        <f aca="false">D90*$A90+'ARR Model'!E$13</f>
        <v>251.90491</v>
      </c>
      <c r="F90" s="34" t="n">
        <f aca="false">E90*$A90+'ARR Model'!F$13</f>
        <v>251.045419</v>
      </c>
      <c r="G90" s="34" t="n">
        <f aca="false">F90*$A90+'ARR Model'!G$13</f>
        <v>250.2718771</v>
      </c>
      <c r="H90" s="34" t="n">
        <f aca="false">G90*$A90+'ARR Model'!H$13</f>
        <v>249.57568939</v>
      </c>
      <c r="I90" s="34" t="n">
        <f aca="false">H90*$A90+'ARR Model'!I$13</f>
        <v>248.949120451</v>
      </c>
      <c r="J90" s="34" t="n">
        <f aca="false">I90*$A90+'ARR Model'!J$13</f>
        <v>248.3852084059</v>
      </c>
      <c r="K90" s="34" t="n">
        <f aca="false">J90*$A90+'ARR Model'!K$13</f>
        <v>247.87768756531</v>
      </c>
      <c r="L90" s="34" t="n">
        <f aca="false">K90*$A90+'ARR Model'!L$13</f>
        <v>247.420918808779</v>
      </c>
      <c r="M90" s="34" t="n">
        <f aca="false">SUMPRODUCT((B90:K90+C90:L90)/2*Inputs!$B$44,'ARR Model'!$C$9:$L$9,DCF!$C$5:$L$5)+AVERAGE(K90,L90)*Inputs!$B$44*'ARR Model'!$L$9*(1+Assumptions!$C$11)/(Assumptions!$C$10-Assumptions!$C$11)*DCF!$L$5</f>
        <v>629.756691922145</v>
      </c>
      <c r="N90" s="30" t="n">
        <f aca="false">(M90+Inputs!$B$13-Inputs!$B$14)/Inputs!$B$9*Inputs!$B$6</f>
        <v>32.7889248849421</v>
      </c>
    </row>
    <row r="91" customFormat="false" ht="15" hidden="false" customHeight="false" outlineLevel="0" collapsed="false">
      <c r="A91" s="20" t="n">
        <v>0.895</v>
      </c>
      <c r="B91" s="33" t="n">
        <f aca="false">'ARR Model'!$B$15</f>
        <v>255.1</v>
      </c>
      <c r="C91" s="34" t="n">
        <f aca="false">B91*$A91+'ARR Model'!C$13</f>
        <v>252.6455</v>
      </c>
      <c r="D91" s="34" t="n">
        <f aca="false">C91*$A91+'ARR Model'!D$13</f>
        <v>250.4487225</v>
      </c>
      <c r="E91" s="34" t="n">
        <f aca="false">D91*$A91+'ARR Model'!E$13</f>
        <v>248.4826066375</v>
      </c>
      <c r="F91" s="34" t="n">
        <f aca="false">E91*$A91+'ARR Model'!F$13</f>
        <v>246.722932940563</v>
      </c>
      <c r="G91" s="34" t="n">
        <f aca="false">F91*$A91+'ARR Model'!G$13</f>
        <v>245.148024981803</v>
      </c>
      <c r="H91" s="34" t="n">
        <f aca="false">G91*$A91+'ARR Model'!H$13</f>
        <v>243.738482358714</v>
      </c>
      <c r="I91" s="34" t="n">
        <f aca="false">H91*$A91+'ARR Model'!I$13</f>
        <v>242.476941711049</v>
      </c>
      <c r="J91" s="34" t="n">
        <f aca="false">I91*$A91+'ARR Model'!J$13</f>
        <v>241.347862831389</v>
      </c>
      <c r="K91" s="34" t="n">
        <f aca="false">J91*$A91+'ARR Model'!K$13</f>
        <v>240.337337234093</v>
      </c>
      <c r="L91" s="34" t="n">
        <f aca="false">K91*$A91+'ARR Model'!L$13</f>
        <v>239.432916824513</v>
      </c>
      <c r="M91" s="34" t="n">
        <f aca="false">SUMPRODUCT((B91:K91+C91:L91)/2*Inputs!$B$44,'ARR Model'!$C$9:$L$9,DCF!$C$5:$L$5)+AVERAGE(K91,L91)*Inputs!$B$44*'ARR Model'!$L$9*(1+Assumptions!$C$11)/(Assumptions!$C$10-Assumptions!$C$11)*DCF!$L$5</f>
        <v>614.982134161464</v>
      </c>
      <c r="N91" s="30" t="n">
        <f aca="false">(M91+Inputs!$B$13-Inputs!$B$14)/Inputs!$B$9*Inputs!$B$6</f>
        <v>31.9607814662622</v>
      </c>
    </row>
    <row r="92" customFormat="false" ht="15" hidden="false" customHeight="false" outlineLevel="0" collapsed="false">
      <c r="A92" s="20" t="n">
        <v>0.89</v>
      </c>
      <c r="B92" s="33" t="n">
        <f aca="false">'ARR Model'!$B$15</f>
        <v>255.1</v>
      </c>
      <c r="C92" s="34" t="n">
        <f aca="false">B92*$A92+'ARR Model'!C$13</f>
        <v>251.37</v>
      </c>
      <c r="D92" s="34" t="n">
        <f aca="false">C92*$A92+'ARR Model'!D$13</f>
        <v>248.0503</v>
      </c>
      <c r="E92" s="34" t="n">
        <f aca="false">D92*$A92+'ARR Model'!E$13</f>
        <v>245.095767</v>
      </c>
      <c r="F92" s="34" t="n">
        <f aca="false">E92*$A92+'ARR Model'!F$13</f>
        <v>242.46623263</v>
      </c>
      <c r="G92" s="34" t="n">
        <f aca="false">F92*$A92+'ARR Model'!G$13</f>
        <v>240.1259470407</v>
      </c>
      <c r="H92" s="34" t="n">
        <f aca="false">G92*$A92+'ARR Model'!H$13</f>
        <v>238.043092866223</v>
      </c>
      <c r="I92" s="34" t="n">
        <f aca="false">H92*$A92+'ARR Model'!I$13</f>
        <v>236.189352650939</v>
      </c>
      <c r="J92" s="34" t="n">
        <f aca="false">I92*$A92+'ARR Model'!J$13</f>
        <v>234.539523859335</v>
      </c>
      <c r="K92" s="34" t="n">
        <f aca="false">J92*$A92+'ARR Model'!K$13</f>
        <v>233.071176234808</v>
      </c>
      <c r="L92" s="34" t="n">
        <f aca="false">K92*$A92+'ARR Model'!L$13</f>
        <v>231.76434684898</v>
      </c>
      <c r="M92" s="34" t="n">
        <f aca="false">SUMPRODUCT((B92:K92+C92:L92)/2*Inputs!$B$44,'ARR Model'!$C$9:$L$9,DCF!$C$5:$L$5)+AVERAGE(K92,L92)*Inputs!$B$44*'ARR Model'!$L$9*(1+Assumptions!$C$11)/(Assumptions!$C$10-Assumptions!$C$11)*DCF!$L$5</f>
        <v>600.686052338785</v>
      </c>
      <c r="N92" s="30" t="n">
        <f aca="false">(M92+Inputs!$B$13-Inputs!$B$14)/Inputs!$B$9*Inputs!$B$6</f>
        <v>31.1594575778498</v>
      </c>
    </row>
    <row r="93" customFormat="false" ht="15" hidden="false" customHeight="false" outlineLevel="0" collapsed="false">
      <c r="A93" s="20" t="n">
        <v>0.885</v>
      </c>
      <c r="B93" s="33" t="n">
        <f aca="false">'ARR Model'!$B$15</f>
        <v>255.1</v>
      </c>
      <c r="C93" s="34" t="n">
        <f aca="false">B93*$A93+'ARR Model'!C$13</f>
        <v>250.0945</v>
      </c>
      <c r="D93" s="34" t="n">
        <f aca="false">C93*$A93+'ARR Model'!D$13</f>
        <v>245.6646325</v>
      </c>
      <c r="E93" s="34" t="n">
        <f aca="false">D93*$A93+'ARR Model'!E$13</f>
        <v>241.7441997625</v>
      </c>
      <c r="F93" s="34" t="n">
        <f aca="false">E93*$A93+'ARR Model'!F$13</f>
        <v>238.274616789813</v>
      </c>
      <c r="G93" s="34" t="n">
        <f aca="false">F93*$A93+'ARR Model'!G$13</f>
        <v>235.204035858984</v>
      </c>
      <c r="H93" s="34" t="n">
        <f aca="false">G93*$A93+'ARR Model'!H$13</f>
        <v>232.486571735201</v>
      </c>
      <c r="I93" s="34" t="n">
        <f aca="false">H93*$A93+'ARR Model'!I$13</f>
        <v>230.081615985653</v>
      </c>
      <c r="J93" s="34" t="n">
        <f aca="false">I93*$A93+'ARR Model'!J$13</f>
        <v>227.953230147303</v>
      </c>
      <c r="K93" s="34" t="n">
        <f aca="false">J93*$A93+'ARR Model'!K$13</f>
        <v>226.069608680363</v>
      </c>
      <c r="L93" s="34" t="n">
        <f aca="false">K93*$A93+'ARR Model'!L$13</f>
        <v>224.402603682121</v>
      </c>
      <c r="M93" s="34" t="n">
        <f aca="false">SUMPRODUCT((B93:K93+C93:L93)/2*Inputs!$B$44,'ARR Model'!$C$9:$L$9,DCF!$C$5:$L$5)+AVERAGE(K93,L93)*Inputs!$B$44*'ARR Model'!$L$9*(1+Assumptions!$C$11)/(Assumptions!$C$10-Assumptions!$C$11)*DCF!$L$5</f>
        <v>586.852074622861</v>
      </c>
      <c r="N93" s="30" t="n">
        <f aca="false">(M93+Inputs!$B$13-Inputs!$B$14)/Inputs!$B$9*Inputs!$B$6</f>
        <v>30.384035545923</v>
      </c>
    </row>
    <row r="94" customFormat="false" ht="15" hidden="false" customHeight="false" outlineLevel="0" collapsed="false">
      <c r="A94" s="20" t="n">
        <v>0.88</v>
      </c>
      <c r="B94" s="33" t="n">
        <f aca="false">'ARR Model'!$B$15</f>
        <v>255.1</v>
      </c>
      <c r="C94" s="34" t="n">
        <f aca="false">B94*$A94+'ARR Model'!C$13</f>
        <v>248.819</v>
      </c>
      <c r="D94" s="34" t="n">
        <f aca="false">C94*$A94+'ARR Model'!D$13</f>
        <v>243.29172</v>
      </c>
      <c r="E94" s="34" t="n">
        <f aca="false">D94*$A94+'ARR Model'!E$13</f>
        <v>238.4277136</v>
      </c>
      <c r="F94" s="34" t="n">
        <f aca="false">E94*$A94+'ARR Model'!F$13</f>
        <v>234.147387968</v>
      </c>
      <c r="G94" s="34" t="n">
        <f aca="false">F94*$A94+'ARR Model'!G$13</f>
        <v>230.38070141184</v>
      </c>
      <c r="H94" s="34" t="n">
        <f aca="false">G94*$A94+'ARR Model'!H$13</f>
        <v>227.066017242419</v>
      </c>
      <c r="I94" s="34" t="n">
        <f aca="false">H94*$A94+'ARR Model'!I$13</f>
        <v>224.149095173329</v>
      </c>
      <c r="J94" s="34" t="n">
        <f aca="false">I94*$A94+'ARR Model'!J$13</f>
        <v>221.582203752529</v>
      </c>
      <c r="K94" s="34" t="n">
        <f aca="false">J94*$A94+'ARR Model'!K$13</f>
        <v>219.323339302226</v>
      </c>
      <c r="L94" s="34" t="n">
        <f aca="false">K94*$A94+'ARR Model'!L$13</f>
        <v>217.335538585959</v>
      </c>
      <c r="M94" s="34" t="n">
        <f aca="false">SUMPRODUCT((B94:K94+C94:L94)/2*Inputs!$B$44,'ARR Model'!$C$9:$L$9,DCF!$C$5:$L$5)+AVERAGE(K94,L94)*Inputs!$B$44*'ARR Model'!$L$9*(1+Assumptions!$C$11)/(Assumptions!$C$10-Assumptions!$C$11)*DCF!$L$5</f>
        <v>573.464358904077</v>
      </c>
      <c r="N94" s="30" t="n">
        <f aca="false">(M94+Inputs!$B$13-Inputs!$B$14)/Inputs!$B$9*Inputs!$B$6</f>
        <v>29.6336273886532</v>
      </c>
    </row>
    <row r="95" customFormat="false" ht="15" hidden="false" customHeight="false" outlineLevel="0" collapsed="false">
      <c r="A95" s="20" t="n">
        <v>0.875</v>
      </c>
      <c r="B95" s="33" t="n">
        <f aca="false">'ARR Model'!$B$15</f>
        <v>255.1</v>
      </c>
      <c r="C95" s="34" t="n">
        <f aca="false">B95*$A95+'ARR Model'!C$13</f>
        <v>247.5435</v>
      </c>
      <c r="D95" s="34" t="n">
        <f aca="false">C95*$A95+'ARR Model'!D$13</f>
        <v>240.9315625</v>
      </c>
      <c r="E95" s="34" t="n">
        <f aca="false">D95*$A95+'ARR Model'!E$13</f>
        <v>235.1461171875</v>
      </c>
      <c r="F95" s="34" t="n">
        <f aca="false">E95*$A95+'ARR Model'!F$13</f>
        <v>230.083852539063</v>
      </c>
      <c r="G95" s="34" t="n">
        <f aca="false">F95*$A95+'ARR Model'!G$13</f>
        <v>225.65437097168</v>
      </c>
      <c r="H95" s="34" t="n">
        <f aca="false">G95*$A95+'ARR Model'!H$13</f>
        <v>221.77857460022</v>
      </c>
      <c r="I95" s="34" t="n">
        <f aca="false">H95*$A95+'ARR Model'!I$13</f>
        <v>218.387252775192</v>
      </c>
      <c r="J95" s="34" t="n">
        <f aca="false">I95*$A95+'ARR Model'!J$13</f>
        <v>215.419846178293</v>
      </c>
      <c r="K95" s="34" t="n">
        <f aca="false">J95*$A95+'ARR Model'!K$13</f>
        <v>212.823365406007</v>
      </c>
      <c r="L95" s="34" t="n">
        <f aca="false">K95*$A95+'ARR Model'!L$13</f>
        <v>210.551444730256</v>
      </c>
      <c r="M95" s="34" t="n">
        <f aca="false">SUMPRODUCT((B95:K95+C95:L95)/2*Inputs!$B$44,'ARR Model'!$C$9:$L$9,DCF!$C$5:$L$5)+AVERAGE(K95,L95)*Inputs!$B$44*'ARR Model'!$L$9*(1+Assumptions!$C$11)/(Assumptions!$C$10-Assumptions!$C$11)*DCF!$L$5</f>
        <v>560.507577507487</v>
      </c>
      <c r="N95" s="30" t="n">
        <f aca="false">(M95+Inputs!$B$13-Inputs!$B$14)/Inputs!$B$9*Inputs!$B$6</f>
        <v>28.9073739593008</v>
      </c>
    </row>
    <row r="96" customFormat="false" ht="15" hidden="false" customHeight="false" outlineLevel="0" collapsed="false">
      <c r="A96" s="20" t="n">
        <v>0.87</v>
      </c>
      <c r="B96" s="33" t="n">
        <f aca="false">'ARR Model'!$B$15</f>
        <v>255.1</v>
      </c>
      <c r="C96" s="34" t="n">
        <f aca="false">B96*$A96+'ARR Model'!C$13</f>
        <v>246.268</v>
      </c>
      <c r="D96" s="34" t="n">
        <f aca="false">C96*$A96+'ARR Model'!D$13</f>
        <v>238.58416</v>
      </c>
      <c r="E96" s="34" t="n">
        <f aca="false">D96*$A96+'ARR Model'!E$13</f>
        <v>231.8992192</v>
      </c>
      <c r="F96" s="34" t="n">
        <f aca="false">E96*$A96+'ARR Model'!F$13</f>
        <v>226.083320704</v>
      </c>
      <c r="G96" s="34" t="n">
        <f aca="false">F96*$A96+'ARR Model'!G$13</f>
        <v>221.02348901248</v>
      </c>
      <c r="H96" s="34" t="n">
        <f aca="false">G96*$A96+'ARR Model'!H$13</f>
        <v>216.621435440858</v>
      </c>
      <c r="I96" s="34" t="n">
        <f aca="false">H96*$A96+'ARR Model'!I$13</f>
        <v>212.791648833546</v>
      </c>
      <c r="J96" s="34" t="n">
        <f aca="false">I96*$A96+'ARR Model'!J$13</f>
        <v>209.459734485185</v>
      </c>
      <c r="K96" s="34" t="n">
        <f aca="false">J96*$A96+'ARR Model'!K$13</f>
        <v>206.560969002111</v>
      </c>
      <c r="L96" s="34" t="n">
        <f aca="false">K96*$A96+'ARR Model'!L$13</f>
        <v>204.039043031837</v>
      </c>
      <c r="M96" s="34" t="n">
        <f aca="false">SUMPRODUCT((B96:K96+C96:L96)/2*Inputs!$B$44,'ARR Model'!$C$9:$L$9,DCF!$C$5:$L$5)+AVERAGE(K96,L96)*Inputs!$B$44*'ARR Model'!$L$9*(1+Assumptions!$C$11)/(Assumptions!$C$10-Assumptions!$C$11)*DCF!$L$5</f>
        <v>547.966902281759</v>
      </c>
      <c r="N96" s="30" t="n">
        <f aca="false">(M96+Inputs!$B$13-Inputs!$B$14)/Inputs!$B$9*Inputs!$B$6</f>
        <v>28.2044441104204</v>
      </c>
    </row>
    <row r="97" customFormat="false" ht="15" hidden="false" customHeight="false" outlineLevel="0" collapsed="false">
      <c r="A97" s="20" t="n">
        <v>0.865</v>
      </c>
      <c r="B97" s="33" t="n">
        <f aca="false">'ARR Model'!$B$15</f>
        <v>255.1</v>
      </c>
      <c r="C97" s="34" t="n">
        <f aca="false">B97*$A97+'ARR Model'!C$13</f>
        <v>244.9925</v>
      </c>
      <c r="D97" s="34" t="n">
        <f aca="false">C97*$A97+'ARR Model'!D$13</f>
        <v>236.2495125</v>
      </c>
      <c r="E97" s="34" t="n">
        <f aca="false">D97*$A97+'ARR Model'!E$13</f>
        <v>228.6868283125</v>
      </c>
      <c r="F97" s="34" t="n">
        <f aca="false">E97*$A97+'ARR Model'!F$13</f>
        <v>222.145106490313</v>
      </c>
      <c r="G97" s="34" t="n">
        <f aca="false">F97*$A97+'ARR Model'!G$13</f>
        <v>216.48651711412</v>
      </c>
      <c r="H97" s="34" t="n">
        <f aca="false">G97*$A97+'ARR Model'!H$13</f>
        <v>211.591837303714</v>
      </c>
      <c r="I97" s="34" t="n">
        <f aca="false">H97*$A97+'ARR Model'!I$13</f>
        <v>207.357939267713</v>
      </c>
      <c r="J97" s="34" t="n">
        <f aca="false">I97*$A97+'ARR Model'!J$13</f>
        <v>203.695617466572</v>
      </c>
      <c r="K97" s="34" t="n">
        <f aca="false">J97*$A97+'ARR Model'!K$13</f>
        <v>200.527709108584</v>
      </c>
      <c r="L97" s="34" t="n">
        <f aca="false">K97*$A97+'ARR Model'!L$13</f>
        <v>197.787468378926</v>
      </c>
      <c r="M97" s="34" t="n">
        <f aca="false">SUMPRODUCT((B97:K97+C97:L97)/2*Inputs!$B$44,'ARR Model'!$C$9:$L$9,DCF!$C$5:$L$5)+AVERAGE(K97,L97)*Inputs!$B$44*'ARR Model'!$L$9*(1+Assumptions!$C$11)/(Assumptions!$C$10-Assumptions!$C$11)*DCF!$L$5</f>
        <v>535.827990056533</v>
      </c>
      <c r="N97" s="30" t="n">
        <f aca="false">(M97+Inputs!$B$13-Inputs!$B$14)/Inputs!$B$9*Inputs!$B$6</f>
        <v>27.5240338787174</v>
      </c>
    </row>
    <row r="98" customFormat="false" ht="15" hidden="false" customHeight="false" outlineLevel="0" collapsed="false">
      <c r="A98" s="20" t="n">
        <v>0.86</v>
      </c>
      <c r="B98" s="33" t="n">
        <f aca="false">'ARR Model'!$B$15</f>
        <v>255.1</v>
      </c>
      <c r="C98" s="34" t="n">
        <f aca="false">B98*$A98+'ARR Model'!C$13</f>
        <v>243.717</v>
      </c>
      <c r="D98" s="34" t="n">
        <f aca="false">C98*$A98+'ARR Model'!D$13</f>
        <v>233.92762</v>
      </c>
      <c r="E98" s="34" t="n">
        <f aca="false">D98*$A98+'ARR Model'!E$13</f>
        <v>225.5087532</v>
      </c>
      <c r="F98" s="34" t="n">
        <f aca="false">E98*$A98+'ARR Model'!F$13</f>
        <v>218.268527752</v>
      </c>
      <c r="G98" s="34" t="n">
        <f aca="false">F98*$A98+'ARR Model'!G$13</f>
        <v>212.04193386672</v>
      </c>
      <c r="H98" s="34" t="n">
        <f aca="false">G98*$A98+'ARR Model'!H$13</f>
        <v>206.687063125379</v>
      </c>
      <c r="I98" s="34" t="n">
        <f aca="false">H98*$A98+'ARR Model'!I$13</f>
        <v>202.081874287826</v>
      </c>
      <c r="J98" s="34" t="n">
        <f aca="false">I98*$A98+'ARR Model'!J$13</f>
        <v>198.12141188753</v>
      </c>
      <c r="K98" s="34" t="n">
        <f aca="false">J98*$A98+'ARR Model'!K$13</f>
        <v>194.715414223276</v>
      </c>
      <c r="L98" s="34" t="n">
        <f aca="false">K98*$A98+'ARR Model'!L$13</f>
        <v>191.786256232018</v>
      </c>
      <c r="M98" s="34" t="n">
        <f aca="false">SUMPRODUCT((B98:K98+C98:L98)/2*Inputs!$B$44,'ARR Model'!$C$9:$L$9,DCF!$C$5:$L$5)+AVERAGE(K98,L98)*Inputs!$B$44*'ARR Model'!$L$9*(1+Assumptions!$C$11)/(Assumptions!$C$10-Assumptions!$C$11)*DCF!$L$5</f>
        <v>524.076968460811</v>
      </c>
      <c r="N98" s="30" t="n">
        <f aca="false">(M98+Inputs!$B$13-Inputs!$B$14)/Inputs!$B$9*Inputs!$B$6</f>
        <v>26.8653656901398</v>
      </c>
    </row>
    <row r="99" customFormat="false" ht="15" hidden="false" customHeight="false" outlineLevel="0" collapsed="false">
      <c r="A99" s="20" t="n">
        <v>0.855</v>
      </c>
      <c r="B99" s="33" t="n">
        <f aca="false">'ARR Model'!$B$15</f>
        <v>255.1</v>
      </c>
      <c r="C99" s="34" t="n">
        <f aca="false">B99*$A99+'ARR Model'!C$13</f>
        <v>242.4415</v>
      </c>
      <c r="D99" s="34" t="n">
        <f aca="false">C99*$A99+'ARR Model'!D$13</f>
        <v>231.6184825</v>
      </c>
      <c r="E99" s="34" t="n">
        <f aca="false">D99*$A99+'ARR Model'!E$13</f>
        <v>222.3648025375</v>
      </c>
      <c r="F99" s="34" t="n">
        <f aca="false">E99*$A99+'ARR Model'!F$13</f>
        <v>214.452906169562</v>
      </c>
      <c r="G99" s="34" t="n">
        <f aca="false">F99*$A99+'ARR Model'!G$13</f>
        <v>207.688234774976</v>
      </c>
      <c r="H99" s="34" t="n">
        <f aca="false">G99*$A99+'ARR Model'!H$13</f>
        <v>201.904440732604</v>
      </c>
      <c r="I99" s="34" t="n">
        <f aca="false">H99*$A99+'ARR Model'!I$13</f>
        <v>196.959296826377</v>
      </c>
      <c r="J99" s="34" t="n">
        <f aca="false">I99*$A99+'ARR Model'!J$13</f>
        <v>192.731198786552</v>
      </c>
      <c r="K99" s="34" t="n">
        <f aca="false">J99*$A99+'ARR Model'!K$13</f>
        <v>189.116174962502</v>
      </c>
      <c r="L99" s="34" t="n">
        <f aca="false">K99*$A99+'ARR Model'!L$13</f>
        <v>186.025329592939</v>
      </c>
      <c r="M99" s="34" t="n">
        <f aca="false">SUMPRODUCT((B99:K99+C99:L99)/2*Inputs!$B$44,'ARR Model'!$C$9:$L$9,DCF!$C$5:$L$5)+AVERAGE(K99,L99)*Inputs!$B$44*'ARR Model'!$L$9*(1+Assumptions!$C$11)/(Assumptions!$C$10-Assumptions!$C$11)*DCF!$L$5</f>
        <v>512.700422095126</v>
      </c>
      <c r="N99" s="30" t="n">
        <f aca="false">(M99+Inputs!$B$13-Inputs!$B$14)/Inputs!$B$9*Inputs!$B$6</f>
        <v>26.227687584801</v>
      </c>
    </row>
    <row r="100" customFormat="false" ht="15" hidden="false" customHeight="false" outlineLevel="0" collapsed="false">
      <c r="A100" s="20" t="n">
        <v>0.85</v>
      </c>
      <c r="B100" s="33" t="n">
        <f aca="false">'ARR Model'!$B$15</f>
        <v>255.1</v>
      </c>
      <c r="C100" s="34" t="n">
        <f aca="false">B100*$A100+'ARR Model'!C$13</f>
        <v>241.166</v>
      </c>
      <c r="D100" s="34" t="n">
        <f aca="false">C100*$A100+'ARR Model'!D$13</f>
        <v>229.3221</v>
      </c>
      <c r="E100" s="34" t="n">
        <f aca="false">D100*$A100+'ARR Model'!E$13</f>
        <v>219.254785</v>
      </c>
      <c r="F100" s="34" t="n">
        <f aca="false">E100*$A100+'ARR Model'!F$13</f>
        <v>210.69756725</v>
      </c>
      <c r="G100" s="34" t="n">
        <f aca="false">F100*$A100+'ARR Model'!G$13</f>
        <v>203.4239321625</v>
      </c>
      <c r="H100" s="34" t="n">
        <f aca="false">G100*$A100+'ARR Model'!H$13</f>
        <v>197.241342338125</v>
      </c>
      <c r="I100" s="34" t="n">
        <f aca="false">H100*$A100+'ARR Model'!I$13</f>
        <v>191.986140987406</v>
      </c>
      <c r="J100" s="34" t="n">
        <f aca="false">I100*$A100+'ARR Model'!J$13</f>
        <v>187.519219839295</v>
      </c>
      <c r="K100" s="34" t="n">
        <f aca="false">J100*$A100+'ARR Model'!K$13</f>
        <v>183.722336863401</v>
      </c>
      <c r="L100" s="34" t="n">
        <f aca="false">K100*$A100+'ARR Model'!L$13</f>
        <v>180.494986333891</v>
      </c>
      <c r="M100" s="34" t="n">
        <f aca="false">SUMPRODUCT((B100:K100+C100:L100)/2*Inputs!$B$44,'ARR Model'!$C$9:$L$9,DCF!$C$5:$L$5)+AVERAGE(K100,L100)*Inputs!$B$44*'ARR Model'!$L$9*(1+Assumptions!$C$11)/(Assumptions!$C$10-Assumptions!$C$11)*DCF!$L$5</f>
        <v>501.685379050315</v>
      </c>
      <c r="N100" s="30" t="n">
        <f aca="false">(M100+Inputs!$B$13-Inputs!$B$14)/Inputs!$B$9*Inputs!$B$6</f>
        <v>25.6102724613303</v>
      </c>
    </row>
    <row r="101" customFormat="false" ht="15" hidden="false" customHeight="false" outlineLevel="0" collapsed="false">
      <c r="A101" s="20" t="n">
        <v>0.845</v>
      </c>
      <c r="B101" s="33" t="n">
        <f aca="false">'ARR Model'!$B$15</f>
        <v>255.1</v>
      </c>
      <c r="C101" s="34" t="n">
        <f aca="false">B101*$A101+'ARR Model'!C$13</f>
        <v>239.8905</v>
      </c>
      <c r="D101" s="34" t="n">
        <f aca="false">C101*$A101+'ARR Model'!D$13</f>
        <v>227.0384725</v>
      </c>
      <c r="E101" s="34" t="n">
        <f aca="false">D101*$A101+'ARR Model'!E$13</f>
        <v>216.1785092625</v>
      </c>
      <c r="F101" s="34" t="n">
        <f aca="false">E101*$A101+'ARR Model'!F$13</f>
        <v>207.001840326813</v>
      </c>
      <c r="G101" s="34" t="n">
        <f aca="false">F101*$A101+'ARR Model'!G$13</f>
        <v>199.247555076157</v>
      </c>
      <c r="H101" s="34" t="n">
        <f aca="false">G101*$A101+'ARR Model'!H$13</f>
        <v>192.695184039352</v>
      </c>
      <c r="I101" s="34" t="n">
        <f aca="false">H101*$A101+'ARR Model'!I$13</f>
        <v>187.158430513253</v>
      </c>
      <c r="J101" s="34" t="n">
        <f aca="false">I101*$A101+'ARR Model'!J$13</f>
        <v>182.479873783699</v>
      </c>
      <c r="K101" s="34" t="n">
        <f aca="false">J101*$A101+'ARR Model'!K$13</f>
        <v>178.526493347225</v>
      </c>
      <c r="L101" s="34" t="n">
        <f aca="false">K101*$A101+'ARR Model'!L$13</f>
        <v>175.185886878405</v>
      </c>
      <c r="M101" s="34" t="n">
        <f aca="false">SUMPRODUCT((B101:K101+C101:L101)/2*Inputs!$B$44,'ARR Model'!$C$9:$L$9,DCF!$C$5:$L$5)+AVERAGE(K101,L101)*Inputs!$B$44*'ARR Model'!$L$9*(1+Assumptions!$C$11)/(Assumptions!$C$10-Assumptions!$C$11)*DCF!$L$5</f>
        <v>491.019297765859</v>
      </c>
      <c r="N101" s="30" t="n">
        <f aca="false">(M101+Inputs!$B$13-Inputs!$B$14)/Inputs!$B$9*Inputs!$B$6</f>
        <v>25.0124173402562</v>
      </c>
    </row>
    <row r="102" customFormat="false" ht="15" hidden="false" customHeight="false" outlineLevel="0" collapsed="false">
      <c r="A102" s="20" t="n">
        <v>0.84</v>
      </c>
      <c r="B102" s="33" t="n">
        <f aca="false">'ARR Model'!$B$15</f>
        <v>255.1</v>
      </c>
      <c r="C102" s="34" t="n">
        <f aca="false">B102*$A102+'ARR Model'!C$13</f>
        <v>238.615</v>
      </c>
      <c r="D102" s="34" t="n">
        <f aca="false">C102*$A102+'ARR Model'!D$13</f>
        <v>224.7676</v>
      </c>
      <c r="E102" s="34" t="n">
        <f aca="false">D102*$A102+'ARR Model'!E$13</f>
        <v>213.135784</v>
      </c>
      <c r="F102" s="34" t="n">
        <f aca="false">E102*$A102+'ARR Model'!F$13</f>
        <v>203.36505856</v>
      </c>
      <c r="G102" s="34" t="n">
        <f aca="false">F102*$A102+'ARR Model'!G$13</f>
        <v>195.1576491904</v>
      </c>
      <c r="H102" s="34" t="n">
        <f aca="false">G102*$A102+'ARR Model'!H$13</f>
        <v>188.263425319936</v>
      </c>
      <c r="I102" s="34" t="n">
        <f aca="false">H102*$A102+'ARR Model'!I$13</f>
        <v>182.472277268746</v>
      </c>
      <c r="J102" s="34" t="n">
        <f aca="false">I102*$A102+'ARR Model'!J$13</f>
        <v>177.607712905747</v>
      </c>
      <c r="K102" s="34" t="n">
        <f aca="false">J102*$A102+'ARR Model'!K$13</f>
        <v>173.521478840827</v>
      </c>
      <c r="L102" s="34" t="n">
        <f aca="false">K102*$A102+'ARR Model'!L$13</f>
        <v>170.089042226295</v>
      </c>
      <c r="M102" s="34" t="n">
        <f aca="false">SUMPRODUCT((B102:K102+C102:L102)/2*Inputs!$B$44,'ARR Model'!$C$9:$L$9,DCF!$C$5:$L$5)+AVERAGE(K102,L102)*Inputs!$B$44*'ARR Model'!$L$9*(1+Assumptions!$C$11)/(Assumptions!$C$10-Assumptions!$C$11)*DCF!$L$5</f>
        <v>480.690054220862</v>
      </c>
      <c r="N102" s="30" t="n">
        <f aca="false">(M102+Inputs!$B$13-Inputs!$B$14)/Inputs!$B$9*Inputs!$B$6</f>
        <v>24.4334426460358</v>
      </c>
    </row>
    <row r="103" customFormat="false" ht="15" hidden="false" customHeight="false" outlineLevel="0" collapsed="false">
      <c r="A103" s="20" t="n">
        <v>0.835</v>
      </c>
      <c r="B103" s="33" t="n">
        <f aca="false">'ARR Model'!$B$15</f>
        <v>255.1</v>
      </c>
      <c r="C103" s="34" t="n">
        <f aca="false">B103*$A103+'ARR Model'!C$13</f>
        <v>237.3395</v>
      </c>
      <c r="D103" s="34" t="n">
        <f aca="false">C103*$A103+'ARR Model'!D$13</f>
        <v>222.5094825</v>
      </c>
      <c r="E103" s="34" t="n">
        <f aca="false">D103*$A103+'ARR Model'!E$13</f>
        <v>210.1264178875</v>
      </c>
      <c r="F103" s="34" t="n">
        <f aca="false">E103*$A103+'ARR Model'!F$13</f>
        <v>199.786558936062</v>
      </c>
      <c r="G103" s="34" t="n">
        <f aca="false">F103*$A103+'ARR Model'!G$13</f>
        <v>191.152776711612</v>
      </c>
      <c r="H103" s="34" t="n">
        <f aca="false">G103*$A103+'ARR Model'!H$13</f>
        <v>183.943568554196</v>
      </c>
      <c r="I103" s="34" t="n">
        <f aca="false">H103*$A103+'ARR Model'!I$13</f>
        <v>177.923879742754</v>
      </c>
      <c r="J103" s="34" t="n">
        <f aca="false">I103*$A103+'ARR Model'!J$13</f>
        <v>172.897439585199</v>
      </c>
      <c r="K103" s="34" t="n">
        <f aca="false">J103*$A103+'ARR Model'!K$13</f>
        <v>168.700362053641</v>
      </c>
      <c r="L103" s="34" t="n">
        <f aca="false">K103*$A103+'ARR Model'!L$13</f>
        <v>165.195802314791</v>
      </c>
      <c r="M103" s="34" t="n">
        <f aca="false">SUMPRODUCT((B103:K103+C103:L103)/2*Inputs!$B$44,'ARR Model'!$C$9:$L$9,DCF!$C$5:$L$5)+AVERAGE(K103,L103)*Inputs!$B$44*'ARR Model'!$L$9*(1+Assumptions!$C$11)/(Assumptions!$C$10-Assumptions!$C$11)*DCF!$L$5</f>
        <v>470.685929450818</v>
      </c>
      <c r="N103" s="30" t="n">
        <f aca="false">(M103+Inputs!$B$13-Inputs!$B$14)/Inputs!$B$9*Inputs!$B$6</f>
        <v>23.8726915073444</v>
      </c>
    </row>
    <row r="104" customFormat="false" ht="15" hidden="false" customHeight="false" outlineLevel="0" collapsed="false">
      <c r="A104" s="20" t="n">
        <v>0.83</v>
      </c>
      <c r="B104" s="33" t="n">
        <f aca="false">'ARR Model'!$B$15</f>
        <v>255.1</v>
      </c>
      <c r="C104" s="34" t="n">
        <f aca="false">B104*$A104+'ARR Model'!C$13</f>
        <v>236.064</v>
      </c>
      <c r="D104" s="34" t="n">
        <f aca="false">C104*$A104+'ARR Model'!D$13</f>
        <v>220.26412</v>
      </c>
      <c r="E104" s="34" t="n">
        <f aca="false">D104*$A104+'ARR Model'!E$13</f>
        <v>207.1502196</v>
      </c>
      <c r="F104" s="34" t="n">
        <f aca="false">E104*$A104+'ARR Model'!F$13</f>
        <v>196.265682268</v>
      </c>
      <c r="G104" s="34" t="n">
        <f aca="false">F104*$A104+'ARR Model'!G$13</f>
        <v>187.23151628244</v>
      </c>
      <c r="H104" s="34" t="n">
        <f aca="false">G104*$A104+'ARR Model'!H$13</f>
        <v>179.733158514425</v>
      </c>
      <c r="I104" s="34" t="n">
        <f aca="false">H104*$A104+'ARR Model'!I$13</f>
        <v>173.509521566973</v>
      </c>
      <c r="J104" s="34" t="n">
        <f aca="false">I104*$A104+'ARR Model'!J$13</f>
        <v>168.343902900588</v>
      </c>
      <c r="K104" s="34" t="n">
        <f aca="false">J104*$A104+'ARR Model'!K$13</f>
        <v>164.056439407488</v>
      </c>
      <c r="L104" s="34" t="n">
        <f aca="false">K104*$A104+'ARR Model'!L$13</f>
        <v>160.497844708215</v>
      </c>
      <c r="M104" s="34" t="n">
        <f aca="false">SUMPRODUCT((B104:K104+C104:L104)/2*Inputs!$B$44,'ARR Model'!$C$9:$L$9,DCF!$C$5:$L$5)+AVERAGE(K104,L104)*Inputs!$B$44*'ARR Model'!$L$9*(1+Assumptions!$C$11)/(Assumptions!$C$10-Assumptions!$C$11)*DCF!$L$5</f>
        <v>460.995597383455</v>
      </c>
      <c r="N104" s="30" t="n">
        <f aca="false">(M104+Inputs!$B$13-Inputs!$B$14)/Inputs!$B$9*Inputs!$B$6</f>
        <v>23.32952907525</v>
      </c>
    </row>
    <row r="105" customFormat="false" ht="15" hidden="false" customHeight="false" outlineLevel="0" collapsed="false">
      <c r="A105" s="20" t="n">
        <v>0.825</v>
      </c>
      <c r="B105" s="33" t="n">
        <f aca="false">'ARR Model'!$B$15</f>
        <v>255.1</v>
      </c>
      <c r="C105" s="34" t="n">
        <f aca="false">B105*$A105+'ARR Model'!C$13</f>
        <v>234.7885</v>
      </c>
      <c r="D105" s="34" t="n">
        <f aca="false">C105*$A105+'ARR Model'!D$13</f>
        <v>218.0315125</v>
      </c>
      <c r="E105" s="34" t="n">
        <f aca="false">D105*$A105+'ARR Model'!E$13</f>
        <v>204.2069978125</v>
      </c>
      <c r="F105" s="34" t="n">
        <f aca="false">E105*$A105+'ARR Model'!F$13</f>
        <v>192.801773195312</v>
      </c>
      <c r="G105" s="34" t="n">
        <f aca="false">F105*$A105+'ARR Model'!G$13</f>
        <v>183.392462886133</v>
      </c>
      <c r="H105" s="34" t="n">
        <f aca="false">G105*$A105+'ARR Model'!H$13</f>
        <v>175.62978188106</v>
      </c>
      <c r="I105" s="34" t="n">
        <f aca="false">H105*$A105+'ARR Model'!I$13</f>
        <v>169.225570051874</v>
      </c>
      <c r="J105" s="34" t="n">
        <f aca="false">I105*$A105+'ARR Model'!J$13</f>
        <v>163.942095292796</v>
      </c>
      <c r="K105" s="34" t="n">
        <f aca="false">J105*$A105+'ARR Model'!K$13</f>
        <v>159.583228616557</v>
      </c>
      <c r="L105" s="34" t="n">
        <f aca="false">K105*$A105+'ARR Model'!L$13</f>
        <v>155.987163608659</v>
      </c>
      <c r="M105" s="34" t="n">
        <f aca="false">SUMPRODUCT((B105:K105+C105:L105)/2*Inputs!$B$44,'ARR Model'!$C$9:$L$9,DCF!$C$5:$L$5)+AVERAGE(K105,L105)*Inputs!$B$44*'ARR Model'!$L$9*(1+Assumptions!$C$11)/(Assumptions!$C$10-Assumptions!$C$11)*DCF!$L$5</f>
        <v>451.608112987028</v>
      </c>
      <c r="N105" s="30" t="n">
        <f aca="false">(M105+Inputs!$B$13-Inputs!$B$14)/Inputs!$B$9*Inputs!$B$6</f>
        <v>22.8033418589023</v>
      </c>
    </row>
    <row r="106" customFormat="false" ht="15" hidden="false" customHeight="false" outlineLevel="0" collapsed="false">
      <c r="A106" s="20" t="n">
        <v>0.82</v>
      </c>
      <c r="B106" s="33" t="n">
        <f aca="false">'ARR Model'!$B$15</f>
        <v>255.1</v>
      </c>
      <c r="C106" s="34" t="n">
        <f aca="false">B106*$A106+'ARR Model'!C$13</f>
        <v>233.513</v>
      </c>
      <c r="D106" s="34" t="n">
        <f aca="false">C106*$A106+'ARR Model'!D$13</f>
        <v>215.81166</v>
      </c>
      <c r="E106" s="34" t="n">
        <f aca="false">D106*$A106+'ARR Model'!E$13</f>
        <v>201.2965612</v>
      </c>
      <c r="F106" s="34" t="n">
        <f aca="false">E106*$A106+'ARR Model'!F$13</f>
        <v>189.394180184</v>
      </c>
      <c r="G106" s="34" t="n">
        <f aca="false">F106*$A106+'ARR Model'!G$13</f>
        <v>179.63422775088</v>
      </c>
      <c r="H106" s="34" t="n">
        <f aca="false">G106*$A106+'ARR Model'!H$13</f>
        <v>171.631066755722</v>
      </c>
      <c r="I106" s="34" t="n">
        <f aca="false">H106*$A106+'ARR Model'!I$13</f>
        <v>165.068474739692</v>
      </c>
      <c r="J106" s="34" t="n">
        <f aca="false">I106*$A106+'ARR Model'!J$13</f>
        <v>159.687149286547</v>
      </c>
      <c r="K106" s="34" t="n">
        <f aca="false">J106*$A106+'ARR Model'!K$13</f>
        <v>155.274462414969</v>
      </c>
      <c r="L106" s="34" t="n">
        <f aca="false">K106*$A106+'ARR Model'!L$13</f>
        <v>151.656059180274</v>
      </c>
      <c r="M106" s="34" t="n">
        <f aca="false">SUMPRODUCT((B106:K106+C106:L106)/2*Inputs!$B$44,'ARR Model'!$C$9:$L$9,DCF!$C$5:$L$5)+AVERAGE(K106,L106)*Inputs!$B$44*'ARR Model'!$L$9*(1+Assumptions!$C$11)/(Assumptions!$C$10-Assumptions!$C$11)*DCF!$L$5</f>
        <v>442.512900724557</v>
      </c>
      <c r="N106" s="30" t="n">
        <f aca="false">(M106+Inputs!$B$13-Inputs!$B$14)/Inputs!$B$9*Inputs!$B$6</f>
        <v>22.2935370783689</v>
      </c>
    </row>
    <row r="107" customFormat="false" ht="15" hidden="false" customHeight="false" outlineLevel="0" collapsed="false">
      <c r="A107" s="20" t="n">
        <v>0.815</v>
      </c>
      <c r="B107" s="33" t="n">
        <f aca="false">'ARR Model'!$B$15</f>
        <v>255.1</v>
      </c>
      <c r="C107" s="34" t="n">
        <f aca="false">B107*$A107+'ARR Model'!C$13</f>
        <v>232.2375</v>
      </c>
      <c r="D107" s="34" t="n">
        <f aca="false">C107*$A107+'ARR Model'!D$13</f>
        <v>213.6045625</v>
      </c>
      <c r="E107" s="34" t="n">
        <f aca="false">D107*$A107+'ARR Model'!E$13</f>
        <v>198.4187184375</v>
      </c>
      <c r="F107" s="34" t="n">
        <f aca="false">E107*$A107+'ARR Model'!F$13</f>
        <v>186.042255526562</v>
      </c>
      <c r="G107" s="34" t="n">
        <f aca="false">F107*$A107+'ARR Model'!G$13</f>
        <v>175.955438254148</v>
      </c>
      <c r="H107" s="34" t="n">
        <f aca="false">G107*$A107+'ARR Model'!H$13</f>
        <v>167.734682177131</v>
      </c>
      <c r="I107" s="34" t="n">
        <f aca="false">H107*$A107+'ARR Model'!I$13</f>
        <v>161.034765974362</v>
      </c>
      <c r="J107" s="34" t="n">
        <f aca="false">I107*$A107+'ARR Model'!J$13</f>
        <v>155.574334269105</v>
      </c>
      <c r="K107" s="34" t="n">
        <f aca="false">J107*$A107+'ARR Model'!K$13</f>
        <v>151.12408242932</v>
      </c>
      <c r="L107" s="34" t="n">
        <f aca="false">K107*$A107+'ARR Model'!L$13</f>
        <v>147.497127179896</v>
      </c>
      <c r="M107" s="34" t="n">
        <f aca="false">SUMPRODUCT((B107:K107+C107:L107)/2*Inputs!$B$44,'ARR Model'!$C$9:$L$9,DCF!$C$5:$L$5)+AVERAGE(K107,L107)*Inputs!$B$44*'ARR Model'!$L$9*(1+Assumptions!$C$11)/(Assumptions!$C$10-Assumptions!$C$11)*DCF!$L$5</f>
        <v>433.699743307577</v>
      </c>
      <c r="N107" s="30" t="n">
        <f aca="false">(M107+Inputs!$B$13-Inputs!$B$14)/Inputs!$B$9*Inputs!$B$6</f>
        <v>21.7995420342609</v>
      </c>
    </row>
    <row r="108" customFormat="false" ht="15" hidden="false" customHeight="false" outlineLevel="0" collapsed="false">
      <c r="A108" s="20" t="n">
        <v>0.81</v>
      </c>
      <c r="B108" s="33" t="n">
        <f aca="false">'ARR Model'!$B$15</f>
        <v>255.1</v>
      </c>
      <c r="C108" s="34" t="n">
        <f aca="false">B108*$A108+'ARR Model'!C$13</f>
        <v>230.962</v>
      </c>
      <c r="D108" s="34" t="n">
        <f aca="false">C108*$A108+'ARR Model'!D$13</f>
        <v>211.41022</v>
      </c>
      <c r="E108" s="34" t="n">
        <f aca="false">D108*$A108+'ARR Model'!E$13</f>
        <v>195.5732782</v>
      </c>
      <c r="F108" s="34" t="n">
        <f aca="false">E108*$A108+'ARR Model'!F$13</f>
        <v>182.745355342</v>
      </c>
      <c r="G108" s="34" t="n">
        <f aca="false">F108*$A108+'ARR Model'!G$13</f>
        <v>172.35473782702</v>
      </c>
      <c r="H108" s="34" t="n">
        <f aca="false">G108*$A108+'ARR Model'!H$13</f>
        <v>163.938337639886</v>
      </c>
      <c r="I108" s="34" t="n">
        <f aca="false">H108*$A108+'ARR Model'!I$13</f>
        <v>157.121053488308</v>
      </c>
      <c r="J108" s="34" t="n">
        <f aca="false">I108*$A108+'ARR Model'!J$13</f>
        <v>151.599053325529</v>
      </c>
      <c r="K108" s="34" t="n">
        <f aca="false">J108*$A108+'ARR Model'!K$13</f>
        <v>147.126233193679</v>
      </c>
      <c r="L108" s="34" t="n">
        <f aca="false">K108*$A108+'ARR Model'!L$13</f>
        <v>143.50324888688</v>
      </c>
      <c r="M108" s="34" t="n">
        <f aca="false">SUMPRODUCT((B108:K108+C108:L108)/2*Inputs!$B$44,'ARR Model'!$C$9:$L$9,DCF!$C$5:$L$5)+AVERAGE(K108,L108)*Inputs!$B$44*'ARR Model'!$L$9*(1+Assumptions!$C$11)/(Assumptions!$C$10-Assumptions!$C$11)*DCF!$L$5</f>
        <v>425.158770743105</v>
      </c>
      <c r="N108" s="30" t="n">
        <f aca="false">(M108+Inputs!$B$13-Inputs!$B$14)/Inputs!$B$9*Inputs!$B$6</f>
        <v>21.320803493794</v>
      </c>
    </row>
    <row r="109" customFormat="false" ht="15" hidden="false" customHeight="false" outlineLevel="0" collapsed="false">
      <c r="A109" s="20" t="n">
        <v>0.805</v>
      </c>
      <c r="B109" s="33" t="n">
        <f aca="false">'ARR Model'!$B$15</f>
        <v>255.1</v>
      </c>
      <c r="C109" s="34" t="n">
        <f aca="false">B109*$A109+'ARR Model'!C$13</f>
        <v>229.6865</v>
      </c>
      <c r="D109" s="34" t="n">
        <f aca="false">C109*$A109+'ARR Model'!D$13</f>
        <v>209.2286325</v>
      </c>
      <c r="E109" s="34" t="n">
        <f aca="false">D109*$A109+'ARR Model'!E$13</f>
        <v>192.7600491625</v>
      </c>
      <c r="F109" s="34" t="n">
        <f aca="false">E109*$A109+'ARR Model'!F$13</f>
        <v>179.502839575813</v>
      </c>
      <c r="G109" s="34" t="n">
        <f aca="false">F109*$A109+'ARR Model'!G$13</f>
        <v>168.830785858529</v>
      </c>
      <c r="H109" s="34" t="n">
        <f aca="false">G109*$A109+'ARR Model'!H$13</f>
        <v>160.239782616116</v>
      </c>
      <c r="I109" s="34" t="n">
        <f aca="false">H109*$A109+'ARR Model'!I$13</f>
        <v>153.324025005973</v>
      </c>
      <c r="J109" s="34" t="n">
        <f aca="false">I109*$A109+'ARR Model'!J$13</f>
        <v>147.756840129809</v>
      </c>
      <c r="K109" s="34" t="n">
        <f aca="false">J109*$A109+'ARR Model'!K$13</f>
        <v>143.275256304496</v>
      </c>
      <c r="L109" s="34" t="n">
        <f aca="false">K109*$A109+'ARR Model'!L$13</f>
        <v>139.667581325119</v>
      </c>
      <c r="M109" s="34" t="n">
        <f aca="false">SUMPRODUCT((B109:K109+C109:L109)/2*Inputs!$B$44,'ARR Model'!$C$9:$L$9,DCF!$C$5:$L$5)+AVERAGE(K109,L109)*Inputs!$B$44*'ARR Model'!$L$9*(1+Assumptions!$C$11)/(Assumptions!$C$10-Assumptions!$C$11)*DCF!$L$5</f>
        <v>416.880449667608</v>
      </c>
      <c r="N109" s="30" t="n">
        <f aca="false">(M109+Inputs!$B$13-Inputs!$B$14)/Inputs!$B$9*Inputs!$B$6</f>
        <v>20.8567870929351</v>
      </c>
    </row>
    <row r="110" customFormat="false" ht="15" hidden="false" customHeight="false" outlineLevel="0" collapsed="false">
      <c r="A110" s="20" t="n">
        <v>0.8</v>
      </c>
      <c r="B110" s="33" t="n">
        <f aca="false">'ARR Model'!$B$15</f>
        <v>255.1</v>
      </c>
      <c r="C110" s="34" t="n">
        <f aca="false">B110*$A110+'ARR Model'!C$13</f>
        <v>228.411</v>
      </c>
      <c r="D110" s="34" t="n">
        <f aca="false">C110*$A110+'ARR Model'!D$13</f>
        <v>207.0598</v>
      </c>
      <c r="E110" s="34" t="n">
        <f aca="false">D110*$A110+'ARR Model'!E$13</f>
        <v>189.97884</v>
      </c>
      <c r="F110" s="34" t="n">
        <f aca="false">E110*$A110+'ARR Model'!F$13</f>
        <v>176.314072</v>
      </c>
      <c r="G110" s="34" t="n">
        <f aca="false">F110*$A110+'ARR Model'!G$13</f>
        <v>165.3822576</v>
      </c>
      <c r="H110" s="34" t="n">
        <f aca="false">G110*$A110+'ARR Model'!H$13</f>
        <v>156.63680608</v>
      </c>
      <c r="I110" s="34" t="n">
        <f aca="false">H110*$A110+'ARR Model'!I$13</f>
        <v>149.640444864</v>
      </c>
      <c r="J110" s="34" t="n">
        <f aca="false">I110*$A110+'ARR Model'!J$13</f>
        <v>144.0433558912</v>
      </c>
      <c r="K110" s="34" t="n">
        <f aca="false">J110*$A110+'ARR Model'!K$13</f>
        <v>139.56568471296</v>
      </c>
      <c r="L110" s="34" t="n">
        <f aca="false">K110*$A110+'ARR Model'!L$13</f>
        <v>135.983547770368</v>
      </c>
      <c r="M110" s="34" t="n">
        <f aca="false">SUMPRODUCT((B110:K110+C110:L110)/2*Inputs!$B$44,'ARR Model'!$C$9:$L$9,DCF!$C$5:$L$5)+AVERAGE(K110,L110)*Inputs!$B$44*'ARR Model'!$L$9*(1+Assumptions!$C$11)/(Assumptions!$C$10-Assumptions!$C$11)*DCF!$L$5</f>
        <v>408.855572961854</v>
      </c>
      <c r="N110" s="30" t="n">
        <f aca="false">(M110+Inputs!$B$13-Inputs!$B$14)/Inputs!$B$9*Inputs!$B$6</f>
        <v>20.4069767542951</v>
      </c>
    </row>
    <row r="111" customFormat="false" ht="15" hidden="false" customHeight="false" outlineLevel="0" collapsed="false">
      <c r="A111" s="20" t="n">
        <v>0.795</v>
      </c>
      <c r="B111" s="33" t="n">
        <f aca="false">'ARR Model'!$B$15</f>
        <v>255.1</v>
      </c>
      <c r="C111" s="34" t="n">
        <f aca="false">B111*$A111+'ARR Model'!C$13</f>
        <v>227.1355</v>
      </c>
      <c r="D111" s="34" t="n">
        <f aca="false">C111*$A111+'ARR Model'!D$13</f>
        <v>204.9037225</v>
      </c>
      <c r="E111" s="34" t="n">
        <f aca="false">D111*$A111+'ARR Model'!E$13</f>
        <v>187.2294593875</v>
      </c>
      <c r="F111" s="34" t="n">
        <f aca="false">E111*$A111+'ARR Model'!F$13</f>
        <v>173.178420213063</v>
      </c>
      <c r="G111" s="34" t="n">
        <f aca="false">F111*$A111+'ARR Model'!G$13</f>
        <v>162.007844069385</v>
      </c>
      <c r="H111" s="34" t="n">
        <f aca="false">G111*$A111+'ARR Model'!H$13</f>
        <v>153.127236035161</v>
      </c>
      <c r="I111" s="34" t="n">
        <f aca="false">H111*$A111+'ARR Model'!I$13</f>
        <v>146.067152647953</v>
      </c>
      <c r="J111" s="34" t="n">
        <f aca="false">I111*$A111+'ARR Model'!J$13</f>
        <v>140.454386355123</v>
      </c>
      <c r="K111" s="34" t="n">
        <f aca="false">J111*$A111+'ARR Model'!K$13</f>
        <v>135.992237152322</v>
      </c>
      <c r="L111" s="34" t="n">
        <f aca="false">K111*$A111+'ARR Model'!L$13</f>
        <v>132.444828536096</v>
      </c>
      <c r="M111" s="34" t="n">
        <f aca="false">SUMPRODUCT((B111:K111+C111:L111)/2*Inputs!$B$44,'ARR Model'!$C$9:$L$9,DCF!$C$5:$L$5)+AVERAGE(K111,L111)*Inputs!$B$44*'ARR Model'!$L$9*(1+Assumptions!$C$11)/(Assumptions!$C$10-Assumptions!$C$11)*DCF!$L$5</f>
        <v>401.075249640639</v>
      </c>
      <c r="N111" s="30" t="n">
        <f aca="false">(M111+Inputs!$B$13-Inputs!$B$14)/Inputs!$B$9*Inputs!$B$6</f>
        <v>19.9708741204272</v>
      </c>
    </row>
    <row r="112" customFormat="false" ht="15" hidden="false" customHeight="false" outlineLevel="0" collapsed="false">
      <c r="A112" s="20" t="n">
        <v>0.79</v>
      </c>
      <c r="B112" s="33" t="n">
        <f aca="false">'ARR Model'!$B$15</f>
        <v>255.1</v>
      </c>
      <c r="C112" s="34" t="n">
        <f aca="false">B112*$A112+'ARR Model'!C$13</f>
        <v>225.86</v>
      </c>
      <c r="D112" s="34" t="n">
        <f aca="false">C112*$A112+'ARR Model'!D$13</f>
        <v>202.7604</v>
      </c>
      <c r="E112" s="34" t="n">
        <f aca="false">D112*$A112+'ARR Model'!E$13</f>
        <v>184.511716</v>
      </c>
      <c r="F112" s="34" t="n">
        <f aca="false">E112*$A112+'ARR Model'!F$13</f>
        <v>170.09525564</v>
      </c>
      <c r="G112" s="34" t="n">
        <f aca="false">F112*$A112+'ARR Model'!G$13</f>
        <v>158.7062519556</v>
      </c>
      <c r="H112" s="34" t="n">
        <f aca="false">G112*$A112+'ARR Model'!H$13</f>
        <v>149.708939044924</v>
      </c>
      <c r="I112" s="34" t="n">
        <f aca="false">H112*$A112+'ARR Model'!I$13</f>
        <v>142.60106184549</v>
      </c>
      <c r="J112" s="34" t="n">
        <f aca="false">I112*$A112+'ARR Model'!J$13</f>
        <v>136.985838857937</v>
      </c>
      <c r="K112" s="34" t="n">
        <f aca="false">J112*$A112+'ARR Model'!K$13</f>
        <v>132.54981269777</v>
      </c>
      <c r="L112" s="34" t="n">
        <f aca="false">K112*$A112+'ARR Model'!L$13</f>
        <v>129.045352031239</v>
      </c>
      <c r="M112" s="34" t="n">
        <f aca="false">SUMPRODUCT((B112:K112+C112:L112)/2*Inputs!$B$44,'ARR Model'!$C$9:$L$9,DCF!$C$5:$L$5)+AVERAGE(K112,L112)*Inputs!$B$44*'ARR Model'!$L$9*(1+Assumptions!$C$11)/(Assumptions!$C$10-Assumptions!$C$11)*DCF!$L$5</f>
        <v>393.530895011477</v>
      </c>
      <c r="N112" s="30" t="n">
        <f aca="false">(M112+Inputs!$B$13-Inputs!$B$14)/Inputs!$B$9*Inputs!$B$6</f>
        <v>19.5479980022022</v>
      </c>
    </row>
    <row r="113" customFormat="false" ht="15" hidden="false" customHeight="false" outlineLevel="0" collapsed="false">
      <c r="A113" s="20" t="n">
        <v>0.785</v>
      </c>
      <c r="B113" s="33" t="n">
        <f aca="false">'ARR Model'!$B$15</f>
        <v>255.1</v>
      </c>
      <c r="C113" s="34" t="n">
        <f aca="false">B113*$A113+'ARR Model'!C$13</f>
        <v>224.5845</v>
      </c>
      <c r="D113" s="34" t="n">
        <f aca="false">C113*$A113+'ARR Model'!D$13</f>
        <v>200.6298325</v>
      </c>
      <c r="E113" s="34" t="n">
        <f aca="false">D113*$A113+'ARR Model'!E$13</f>
        <v>181.8254185125</v>
      </c>
      <c r="F113" s="34" t="n">
        <f aca="false">E113*$A113+'ARR Model'!F$13</f>
        <v>167.063953532313</v>
      </c>
      <c r="G113" s="34" t="n">
        <f aca="false">F113*$A113+'ARR Model'!G$13</f>
        <v>155.476203522865</v>
      </c>
      <c r="H113" s="34" t="n">
        <f aca="false">G113*$A113+'ARR Model'!H$13</f>
        <v>146.379819765449</v>
      </c>
      <c r="I113" s="34" t="n">
        <f aca="false">H113*$A113+'ARR Model'!I$13</f>
        <v>139.239158515878</v>
      </c>
      <c r="J113" s="34" t="n">
        <f aca="false">I113*$A113+'ARR Model'!J$13</f>
        <v>133.633739434964</v>
      </c>
      <c r="K113" s="34" t="n">
        <f aca="false">J113*$A113+'ARR Model'!K$13</f>
        <v>129.233485456447</v>
      </c>
      <c r="L113" s="34" t="n">
        <f aca="false">K113*$A113+'ARR Model'!L$13</f>
        <v>125.779286083311</v>
      </c>
      <c r="M113" s="34" t="n">
        <f aca="false">SUMPRODUCT((B113:K113+C113:L113)/2*Inputs!$B$44,'ARR Model'!$C$9:$L$9,DCF!$C$5:$L$5)+AVERAGE(K113,L113)*Inputs!$B$44*'ARR Model'!$L$9*(1+Assumptions!$C$11)/(Assumptions!$C$10-Assumptions!$C$11)*DCF!$L$5</f>
        <v>386.214221096419</v>
      </c>
      <c r="N113" s="30" t="n">
        <f aca="false">(M113+Inputs!$B$13-Inputs!$B$14)/Inputs!$B$9*Inputs!$B$6</f>
        <v>19.1378838419322</v>
      </c>
    </row>
    <row r="114" customFormat="false" ht="15" hidden="false" customHeight="false" outlineLevel="0" collapsed="false">
      <c r="A114" s="20" t="n">
        <v>0.78</v>
      </c>
      <c r="B114" s="33" t="n">
        <f aca="false">'ARR Model'!$B$15</f>
        <v>255.1</v>
      </c>
      <c r="C114" s="34" t="n">
        <f aca="false">B114*$A114+'ARR Model'!C$13</f>
        <v>223.309</v>
      </c>
      <c r="D114" s="34" t="n">
        <f aca="false">C114*$A114+'ARR Model'!D$13</f>
        <v>198.51202</v>
      </c>
      <c r="E114" s="34" t="n">
        <f aca="false">D114*$A114+'ARR Model'!E$13</f>
        <v>179.1703756</v>
      </c>
      <c r="F114" s="34" t="n">
        <f aca="false">E114*$A114+'ARR Model'!F$13</f>
        <v>164.083892968</v>
      </c>
      <c r="G114" s="34" t="n">
        <f aca="false">F114*$A114+'ARR Model'!G$13</f>
        <v>152.31643651504</v>
      </c>
      <c r="H114" s="34" t="n">
        <f aca="false">G114*$A114+'ARR Model'!H$13</f>
        <v>143.137820481731</v>
      </c>
      <c r="I114" s="34" t="n">
        <f aca="false">H114*$A114+'ARR Model'!I$13</f>
        <v>135.97849997575</v>
      </c>
      <c r="J114" s="34" t="n">
        <f aca="false">I114*$A114+'ARR Model'!J$13</f>
        <v>130.394229981085</v>
      </c>
      <c r="K114" s="34" t="n">
        <f aca="false">J114*$A114+'ARR Model'!K$13</f>
        <v>126.038499385246</v>
      </c>
      <c r="L114" s="34" t="n">
        <f aca="false">K114*$A114+'ARR Model'!L$13</f>
        <v>122.641029520492</v>
      </c>
      <c r="M114" s="34" t="n">
        <f aca="false">SUMPRODUCT((B114:K114+C114:L114)/2*Inputs!$B$44,'ARR Model'!$C$9:$L$9,DCF!$C$5:$L$5)+AVERAGE(K114,L114)*Inputs!$B$44*'ARR Model'!$L$9*(1+Assumptions!$C$11)/(Assumptions!$C$10-Assumptions!$C$11)*DCF!$L$5</f>
        <v>379.117227311299</v>
      </c>
      <c r="N114" s="30" t="n">
        <f aca="false">(M114+Inputs!$B$13-Inputs!$B$14)/Inputs!$B$9*Inputs!$B$6</f>
        <v>18.7400831909238</v>
      </c>
    </row>
    <row r="115" customFormat="false" ht="15" hidden="false" customHeight="false" outlineLevel="0" collapsed="false">
      <c r="A115" s="20" t="n">
        <v>0.775</v>
      </c>
      <c r="B115" s="33" t="n">
        <f aca="false">'ARR Model'!$B$15</f>
        <v>255.1</v>
      </c>
      <c r="C115" s="34" t="n">
        <f aca="false">B115*$A115+'ARR Model'!C$13</f>
        <v>222.0335</v>
      </c>
      <c r="D115" s="34" t="n">
        <f aca="false">C115*$A115+'ARR Model'!D$13</f>
        <v>196.4069625</v>
      </c>
      <c r="E115" s="34" t="n">
        <f aca="false">D115*$A115+'ARR Model'!E$13</f>
        <v>176.5463959375</v>
      </c>
      <c r="F115" s="34" t="n">
        <f aca="false">E115*$A115+'ARR Model'!F$13</f>
        <v>161.154456851563</v>
      </c>
      <c r="G115" s="34" t="n">
        <f aca="false">F115*$A115+'ARR Model'!G$13</f>
        <v>149.225704059961</v>
      </c>
      <c r="H115" s="34" t="n">
        <f aca="false">G115*$A115+'ARR Model'!H$13</f>
        <v>139.98092064647</v>
      </c>
      <c r="I115" s="34" t="n">
        <f aca="false">H115*$A115+'ARR Model'!I$13</f>
        <v>132.816213501014</v>
      </c>
      <c r="J115" s="34" t="n">
        <f aca="false">I115*$A115+'ARR Model'!J$13</f>
        <v>127.263565463286</v>
      </c>
      <c r="K115" s="34" t="n">
        <f aca="false">J115*$A115+'ARR Model'!K$13</f>
        <v>122.960263234047</v>
      </c>
      <c r="L115" s="34" t="n">
        <f aca="false">K115*$A115+'ARR Model'!L$13</f>
        <v>119.625204006386</v>
      </c>
      <c r="M115" s="34" t="n">
        <f aca="false">SUMPRODUCT((B115:K115+C115:L115)/2*Inputs!$B$44,'ARR Model'!$C$9:$L$9,DCF!$C$5:$L$5)+AVERAGE(K115,L115)*Inputs!$B$44*'ARR Model'!$L$9*(1+Assumptions!$C$11)/(Assumptions!$C$10-Assumptions!$C$11)*DCF!$L$5</f>
        <v>372.23219139675</v>
      </c>
      <c r="N115" s="30" t="n">
        <f aca="false">(M115+Inputs!$B$13-Inputs!$B$14)/Inputs!$B$9*Inputs!$B$6</f>
        <v>18.3541632011436</v>
      </c>
    </row>
    <row r="116" customFormat="false" ht="15" hidden="false" customHeight="false" outlineLevel="0" collapsed="false">
      <c r="A116" s="20" t="n">
        <v>0.77</v>
      </c>
      <c r="B116" s="33" t="n">
        <f aca="false">'ARR Model'!$B$15</f>
        <v>255.1</v>
      </c>
      <c r="C116" s="34" t="n">
        <f aca="false">B116*$A116+'ARR Model'!C$13</f>
        <v>220.758</v>
      </c>
      <c r="D116" s="34" t="n">
        <f aca="false">C116*$A116+'ARR Model'!D$13</f>
        <v>194.31466</v>
      </c>
      <c r="E116" s="34" t="n">
        <f aca="false">D116*$A116+'ARR Model'!E$13</f>
        <v>173.9532882</v>
      </c>
      <c r="F116" s="34" t="n">
        <f aca="false">E116*$A116+'ARR Model'!F$13</f>
        <v>158.275031914</v>
      </c>
      <c r="G116" s="34" t="n">
        <f aca="false">F116*$A116+'ARR Model'!G$13</f>
        <v>146.20277457378</v>
      </c>
      <c r="H116" s="34" t="n">
        <f aca="false">G116*$A116+'ARR Model'!H$13</f>
        <v>136.907136421811</v>
      </c>
      <c r="I116" s="34" t="n">
        <f aca="false">H116*$A116+'ARR Model'!I$13</f>
        <v>129.749495044794</v>
      </c>
      <c r="J116" s="34" t="n">
        <f aca="false">I116*$A116+'ARR Model'!J$13</f>
        <v>124.238111184492</v>
      </c>
      <c r="K116" s="34" t="n">
        <f aca="false">J116*$A116+'ARR Model'!K$13</f>
        <v>119.994345612058</v>
      </c>
      <c r="L116" s="34" t="n">
        <f aca="false">K116*$A116+'ARR Model'!L$13</f>
        <v>116.726646121285</v>
      </c>
      <c r="M116" s="34" t="n">
        <f aca="false">SUMPRODUCT((B116:K116+C116:L116)/2*Inputs!$B$44,'ARR Model'!$C$9:$L$9,DCF!$C$5:$L$5)+AVERAGE(K116,L116)*Inputs!$B$44*'ARR Model'!$L$9*(1+Assumptions!$C$11)/(Assumptions!$C$10-Assumptions!$C$11)*DCF!$L$5</f>
        <v>365.551660595481</v>
      </c>
      <c r="N116" s="30" t="n">
        <f aca="false">(M116+Inputs!$B$13-Inputs!$B$14)/Inputs!$B$9*Inputs!$B$6</f>
        <v>17.9797061306868</v>
      </c>
    </row>
    <row r="117" customFormat="false" ht="15" hidden="false" customHeight="false" outlineLevel="0" collapsed="false">
      <c r="A117" s="20" t="n">
        <v>0.765</v>
      </c>
      <c r="B117" s="33" t="n">
        <f aca="false">'ARR Model'!$B$15</f>
        <v>255.1</v>
      </c>
      <c r="C117" s="34" t="n">
        <f aca="false">B117*$A117+'ARR Model'!C$13</f>
        <v>219.4825</v>
      </c>
      <c r="D117" s="34" t="n">
        <f aca="false">C117*$A117+'ARR Model'!D$13</f>
        <v>192.2351125</v>
      </c>
      <c r="E117" s="34" t="n">
        <f aca="false">D117*$A117+'ARR Model'!E$13</f>
        <v>171.3908610625</v>
      </c>
      <c r="F117" s="34" t="n">
        <f aca="false">E117*$A117+'ARR Model'!F$13</f>
        <v>155.445008712813</v>
      </c>
      <c r="G117" s="34" t="n">
        <f aca="false">F117*$A117+'ARR Model'!G$13</f>
        <v>143.246431665302</v>
      </c>
      <c r="H117" s="34" t="n">
        <f aca="false">G117*$A117+'ARR Model'!H$13</f>
        <v>133.914520223956</v>
      </c>
      <c r="I117" s="34" t="n">
        <f aca="false">H117*$A117+'ARR Model'!I$13</f>
        <v>126.775607971326</v>
      </c>
      <c r="J117" s="34" t="n">
        <f aca="false">I117*$A117+'ARR Model'!J$13</f>
        <v>121.314340098064</v>
      </c>
      <c r="K117" s="34" t="n">
        <f aca="false">J117*$A117+'ARR Model'!K$13</f>
        <v>117.136470175019</v>
      </c>
      <c r="L117" s="34" t="n">
        <f aca="false">K117*$A117+'ARR Model'!L$13</f>
        <v>113.94039968389</v>
      </c>
      <c r="M117" s="34" t="n">
        <f aca="false">SUMPRODUCT((B117:K117+C117:L117)/2*Inputs!$B$44,'ARR Model'!$C$9:$L$9,DCF!$C$5:$L$5)+AVERAGE(K117,L117)*Inputs!$B$44*'ARR Model'!$L$9*(1+Assumptions!$C$11)/(Assumptions!$C$10-Assumptions!$C$11)*DCF!$L$5</f>
        <v>359.068443070345</v>
      </c>
      <c r="N117" s="30" t="n">
        <f aca="false">(M117+Inputs!$B$13-Inputs!$B$14)/Inputs!$B$9*Inputs!$B$6</f>
        <v>17.6163088627429</v>
      </c>
    </row>
    <row r="118" customFormat="false" ht="15" hidden="false" customHeight="false" outlineLevel="0" collapsed="false">
      <c r="A118" s="20" t="n">
        <v>0.76</v>
      </c>
      <c r="B118" s="33" t="n">
        <f aca="false">'ARR Model'!$B$15</f>
        <v>255.1</v>
      </c>
      <c r="C118" s="34" t="n">
        <f aca="false">B118*$A118+'ARR Model'!C$13</f>
        <v>218.207</v>
      </c>
      <c r="D118" s="34" t="n">
        <f aca="false">C118*$A118+'ARR Model'!D$13</f>
        <v>190.16832</v>
      </c>
      <c r="E118" s="34" t="n">
        <f aca="false">D118*$A118+'ARR Model'!E$13</f>
        <v>168.8589232</v>
      </c>
      <c r="F118" s="34" t="n">
        <f aca="false">E118*$A118+'ARR Model'!F$13</f>
        <v>152.663781632</v>
      </c>
      <c r="G118" s="34" t="n">
        <f aca="false">F118*$A118+'ARR Model'!G$13</f>
        <v>140.35547404032</v>
      </c>
      <c r="H118" s="34" t="n">
        <f aca="false">G118*$A118+'ARR Model'!H$13</f>
        <v>131.001160270643</v>
      </c>
      <c r="I118" s="34" t="n">
        <f aca="false">H118*$A118+'ARR Model'!I$13</f>
        <v>123.891881805689</v>
      </c>
      <c r="J118" s="34" t="n">
        <f aca="false">I118*$A118+'ARR Model'!J$13</f>
        <v>118.488830172324</v>
      </c>
      <c r="K118" s="34" t="n">
        <f aca="false">J118*$A118+'ARR Model'!K$13</f>
        <v>114.382510930966</v>
      </c>
      <c r="L118" s="34" t="n">
        <f aca="false">K118*$A118+'ARR Model'!L$13</f>
        <v>111.261708307534</v>
      </c>
      <c r="M118" s="34" t="n">
        <f aca="false">SUMPRODUCT((B118:K118+C118:L118)/2*Inputs!$B$44,'ARR Model'!$C$9:$L$9,DCF!$C$5:$L$5)+AVERAGE(K118,L118)*Inputs!$B$44*'ARR Model'!$L$9*(1+Assumptions!$C$11)/(Assumptions!$C$10-Assumptions!$C$11)*DCF!$L$5</f>
        <v>352.775599557865</v>
      </c>
      <c r="N118" s="30" t="n">
        <f aca="false">(M118+Inputs!$B$13-Inputs!$B$14)/Inputs!$B$9*Inputs!$B$6</f>
        <v>17.263582437759</v>
      </c>
    </row>
    <row r="119" customFormat="false" ht="15" hidden="false" customHeight="false" outlineLevel="0" collapsed="false">
      <c r="A119" s="20" t="n">
        <v>0.755</v>
      </c>
      <c r="B119" s="33" t="n">
        <f aca="false">'ARR Model'!$B$15</f>
        <v>255.1</v>
      </c>
      <c r="C119" s="34" t="n">
        <f aca="false">B119*$A119+'ARR Model'!C$13</f>
        <v>216.9315</v>
      </c>
      <c r="D119" s="34" t="n">
        <f aca="false">C119*$A119+'ARR Model'!D$13</f>
        <v>188.1142825</v>
      </c>
      <c r="E119" s="34" t="n">
        <f aca="false">D119*$A119+'ARR Model'!E$13</f>
        <v>166.3572832875</v>
      </c>
      <c r="F119" s="34" t="n">
        <f aca="false">E119*$A119+'ARR Model'!F$13</f>
        <v>149.930748882063</v>
      </c>
      <c r="G119" s="34" t="n">
        <f aca="false">F119*$A119+'ARR Model'!G$13</f>
        <v>137.528715405957</v>
      </c>
      <c r="H119" s="34" t="n">
        <f aca="false">G119*$A119+'ARR Model'!H$13</f>
        <v>128.165180131498</v>
      </c>
      <c r="I119" s="34" t="n">
        <f aca="false">H119*$A119+'ARR Model'!I$13</f>
        <v>121.095710999281</v>
      </c>
      <c r="J119" s="34" t="n">
        <f aca="false">I119*$A119+'ARR Model'!J$13</f>
        <v>115.758261804457</v>
      </c>
      <c r="K119" s="34" t="n">
        <f aca="false">J119*$A119+'ARR Model'!K$13</f>
        <v>111.728487662365</v>
      </c>
      <c r="L119" s="34" t="n">
        <f aca="false">K119*$A119+'ARR Model'!L$13</f>
        <v>108.686008185086</v>
      </c>
      <c r="M119" s="34" t="n">
        <f aca="false">SUMPRODUCT((B119:K119+C119:L119)/2*Inputs!$B$44,'ARR Model'!$C$9:$L$9,DCF!$C$5:$L$5)+AVERAGE(K119,L119)*Inputs!$B$44*'ARR Model'!$L$9*(1+Assumptions!$C$11)/(Assumptions!$C$10-Assumptions!$C$11)*DCF!$L$5</f>
        <v>346.666435251936</v>
      </c>
      <c r="N119" s="30" t="n">
        <f aca="false">(M119+Inputs!$B$13-Inputs!$B$14)/Inputs!$B$9*Inputs!$B$6</f>
        <v>16.9211515985054</v>
      </c>
    </row>
    <row r="120" customFormat="false" ht="15" hidden="false" customHeight="false" outlineLevel="0" collapsed="false">
      <c r="A120" s="20" t="n">
        <v>0.75</v>
      </c>
      <c r="B120" s="33" t="n">
        <f aca="false">'ARR Model'!$B$15</f>
        <v>255.1</v>
      </c>
      <c r="C120" s="34" t="n">
        <f aca="false">B120*$A120+'ARR Model'!C$13</f>
        <v>215.656</v>
      </c>
      <c r="D120" s="34" t="n">
        <f aca="false">C120*$A120+'ARR Model'!D$13</f>
        <v>186.073</v>
      </c>
      <c r="E120" s="34" t="n">
        <f aca="false">D120*$A120+'ARR Model'!E$13</f>
        <v>163.88575</v>
      </c>
      <c r="F120" s="34" t="n">
        <f aca="false">E120*$A120+'ARR Model'!F$13</f>
        <v>147.2453125</v>
      </c>
      <c r="G120" s="34" t="n">
        <f aca="false">F120*$A120+'ARR Model'!G$13</f>
        <v>134.764984375</v>
      </c>
      <c r="H120" s="34" t="n">
        <f aca="false">G120*$A120+'ARR Model'!H$13</f>
        <v>125.40473828125</v>
      </c>
      <c r="I120" s="34" t="n">
        <f aca="false">H120*$A120+'ARR Model'!I$13</f>
        <v>118.384553710938</v>
      </c>
      <c r="J120" s="34" t="n">
        <f aca="false">I120*$A120+'ARR Model'!J$13</f>
        <v>113.119415283203</v>
      </c>
      <c r="K120" s="34" t="n">
        <f aca="false">J120*$A120+'ARR Model'!K$13</f>
        <v>109.170561462402</v>
      </c>
      <c r="L120" s="34" t="n">
        <f aca="false">K120*$A120+'ARR Model'!L$13</f>
        <v>106.208921096802</v>
      </c>
      <c r="M120" s="34" t="n">
        <f aca="false">SUMPRODUCT((B120:K120+C120:L120)/2*Inputs!$B$44,'ARR Model'!$C$9:$L$9,DCF!$C$5:$L$5)+AVERAGE(K120,L120)*Inputs!$B$44*'ARR Model'!$L$9*(1+Assumptions!$C$11)/(Assumptions!$C$10-Assumptions!$C$11)*DCF!$L$5</f>
        <v>340.734491912546</v>
      </c>
      <c r="N120" s="30" t="n">
        <f aca="false">(M120+Inputs!$B$13-Inputs!$B$14)/Inputs!$B$9*Inputs!$B$6</f>
        <v>16.5886543477538</v>
      </c>
    </row>
    <row r="121" customFormat="false" ht="15" hidden="false" customHeight="false" outlineLevel="0" collapsed="false">
      <c r="A121" s="20" t="n">
        <v>0.745</v>
      </c>
      <c r="B121" s="33" t="n">
        <f aca="false">'ARR Model'!$B$15</f>
        <v>255.1</v>
      </c>
      <c r="C121" s="34" t="n">
        <f aca="false">B121*$A121+'ARR Model'!C$13</f>
        <v>214.3805</v>
      </c>
      <c r="D121" s="34" t="n">
        <f aca="false">C121*$A121+'ARR Model'!D$13</f>
        <v>184.0444725</v>
      </c>
      <c r="E121" s="34" t="n">
        <f aca="false">D121*$A121+'ARR Model'!E$13</f>
        <v>161.4441320125</v>
      </c>
      <c r="F121" s="34" t="n">
        <f aca="false">E121*$A121+'ARR Model'!F$13</f>
        <v>144.606878349313</v>
      </c>
      <c r="G121" s="34" t="n">
        <f aca="false">F121*$A121+'ARR Model'!G$13</f>
        <v>132.063124370238</v>
      </c>
      <c r="H121" s="34" t="n">
        <f aca="false">G121*$A121+'ARR Model'!H$13</f>
        <v>122.718027655827</v>
      </c>
      <c r="I121" s="34" t="n">
        <f aca="false">H121*$A121+'ARR Model'!I$13</f>
        <v>115.755930603591</v>
      </c>
      <c r="J121" s="34" t="n">
        <f aca="false">I121*$A121+'ARR Model'!J$13</f>
        <v>110.569168299675</v>
      </c>
      <c r="K121" s="34" t="n">
        <f aca="false">J121*$A121+'ARR Model'!K$13</f>
        <v>106.705030383258</v>
      </c>
      <c r="L121" s="34" t="n">
        <f aca="false">K121*$A121+'ARR Model'!L$13</f>
        <v>103.826247635527</v>
      </c>
      <c r="M121" s="34" t="n">
        <f aca="false">SUMPRODUCT((B121:K121+C121:L121)/2*Inputs!$B$44,'ARR Model'!$C$9:$L$9,DCF!$C$5:$L$5)+AVERAGE(K121,L121)*Inputs!$B$44*'ARR Model'!$L$9*(1+Assumptions!$C$11)/(Assumptions!$C$10-Assumptions!$C$11)*DCF!$L$5</f>
        <v>334.973540194416</v>
      </c>
      <c r="N121" s="30" t="n">
        <f aca="false">(M121+Inputs!$B$13-Inputs!$B$14)/Inputs!$B$9*Inputs!$B$6</f>
        <v>16.2657415182816</v>
      </c>
    </row>
    <row r="122" customFormat="false" ht="15" hidden="false" customHeight="false" outlineLevel="0" collapsed="false">
      <c r="A122" s="20" t="n">
        <v>0.74</v>
      </c>
      <c r="B122" s="33" t="n">
        <f aca="false">'ARR Model'!$B$15</f>
        <v>255.1</v>
      </c>
      <c r="C122" s="34" t="n">
        <f aca="false">B122*$A122+'ARR Model'!C$13</f>
        <v>213.105</v>
      </c>
      <c r="D122" s="34" t="n">
        <f aca="false">C122*$A122+'ARR Model'!D$13</f>
        <v>182.0287</v>
      </c>
      <c r="E122" s="34" t="n">
        <f aca="false">D122*$A122+'ARR Model'!E$13</f>
        <v>159.032238</v>
      </c>
      <c r="F122" s="34" t="n">
        <f aca="false">E122*$A122+'ARR Model'!F$13</f>
        <v>142.01485612</v>
      </c>
      <c r="G122" s="34" t="n">
        <f aca="false">F122*$A122+'ARR Model'!G$13</f>
        <v>129.4219935288</v>
      </c>
      <c r="H122" s="34" t="n">
        <f aca="false">G122*$A122+'ARR Model'!H$13</f>
        <v>120.103275211312</v>
      </c>
      <c r="I122" s="34" t="n">
        <f aca="false">H122*$A122+'ARR Model'!I$13</f>
        <v>113.207423656371</v>
      </c>
      <c r="J122" s="34" t="n">
        <f aca="false">I122*$A122+'ARR Model'!J$13</f>
        <v>108.104493505714</v>
      </c>
      <c r="K122" s="34" t="n">
        <f aca="false">J122*$A122+'ARR Model'!K$13</f>
        <v>104.328325194229</v>
      </c>
      <c r="L122" s="34" t="n">
        <f aca="false">K122*$A122+'ARR Model'!L$13</f>
        <v>101.533960643729</v>
      </c>
      <c r="M122" s="34" t="n">
        <f aca="false">SUMPRODUCT((B122:K122+C122:L122)/2*Inputs!$B$44,'ARR Model'!$C$9:$L$9,DCF!$C$5:$L$5)+AVERAGE(K122,L122)*Inputs!$B$44*'ARR Model'!$L$9*(1+Assumptions!$C$11)/(Assumptions!$C$10-Assumptions!$C$11)*DCF!$L$5</f>
        <v>329.377572190571</v>
      </c>
      <c r="N122" s="30" t="n">
        <f aca="false">(M122+Inputs!$B$13-Inputs!$B$14)/Inputs!$B$9*Inputs!$B$6</f>
        <v>15.9520763549248</v>
      </c>
    </row>
    <row r="123" customFormat="false" ht="15" hidden="false" customHeight="false" outlineLevel="0" collapsed="false">
      <c r="A123" s="20" t="n">
        <v>0.735</v>
      </c>
      <c r="B123" s="33" t="n">
        <f aca="false">'ARR Model'!$B$15</f>
        <v>255.1</v>
      </c>
      <c r="C123" s="34" t="n">
        <f aca="false">B123*$A123+'ARR Model'!C$13</f>
        <v>211.8295</v>
      </c>
      <c r="D123" s="34" t="n">
        <f aca="false">C123*$A123+'ARR Model'!D$13</f>
        <v>180.0256825</v>
      </c>
      <c r="E123" s="34" t="n">
        <f aca="false">D123*$A123+'ARR Model'!E$13</f>
        <v>156.6498766375</v>
      </c>
      <c r="F123" s="34" t="n">
        <f aca="false">E123*$A123+'ARR Model'!F$13</f>
        <v>139.468659328563</v>
      </c>
      <c r="G123" s="34" t="n">
        <f aca="false">F123*$A123+'ARR Model'!G$13</f>
        <v>126.840464606493</v>
      </c>
      <c r="H123" s="34" t="n">
        <f aca="false">G123*$A123+'ARR Model'!H$13</f>
        <v>117.558741485773</v>
      </c>
      <c r="I123" s="34" t="n">
        <f aca="false">H123*$A123+'ARR Model'!I$13</f>
        <v>110.736674992043</v>
      </c>
      <c r="J123" s="34" t="n">
        <f aca="false">I123*$A123+'ARR Model'!J$13</f>
        <v>105.722456119152</v>
      </c>
      <c r="K123" s="34" t="n">
        <f aca="false">J123*$A123+'ARR Model'!K$13</f>
        <v>102.037005247576</v>
      </c>
      <c r="L123" s="34" t="n">
        <f aca="false">K123*$A123+'ARR Model'!L$13</f>
        <v>99.3281988569686</v>
      </c>
      <c r="M123" s="34" t="n">
        <f aca="false">SUMPRODUCT((B123:K123+C123:L123)/2*Inputs!$B$44,'ARR Model'!$C$9:$L$9,DCF!$C$5:$L$5)+AVERAGE(K123,L123)*Inputs!$B$44*'ARR Model'!$L$9*(1+Assumptions!$C$11)/(Assumptions!$C$10-Assumptions!$C$11)*DCF!$L$5</f>
        <v>323.940794185912</v>
      </c>
      <c r="N123" s="30" t="n">
        <f aca="false">(M123+Inputs!$B$13-Inputs!$B$14)/Inputs!$B$9*Inputs!$B$6</f>
        <v>15.6473341084013</v>
      </c>
    </row>
    <row r="124" customFormat="false" ht="15" hidden="false" customHeight="false" outlineLevel="0" collapsed="false">
      <c r="A124" s="20" t="n">
        <v>0.73</v>
      </c>
      <c r="B124" s="33" t="n">
        <f aca="false">'ARR Model'!$B$15</f>
        <v>255.1</v>
      </c>
      <c r="C124" s="34" t="n">
        <f aca="false">B124*$A124+'ARR Model'!C$13</f>
        <v>210.554</v>
      </c>
      <c r="D124" s="34" t="n">
        <f aca="false">C124*$A124+'ARR Model'!D$13</f>
        <v>178.03542</v>
      </c>
      <c r="E124" s="34" t="n">
        <f aca="false">D124*$A124+'ARR Model'!E$13</f>
        <v>154.2968566</v>
      </c>
      <c r="F124" s="34" t="n">
        <f aca="false">E124*$A124+'ARR Model'!F$13</f>
        <v>136.967705318</v>
      </c>
      <c r="G124" s="34" t="n">
        <f aca="false">F124*$A124+'ARR Model'!G$13</f>
        <v>124.31742488214</v>
      </c>
      <c r="H124" s="34" t="n">
        <f aca="false">G124*$A124+'ARR Model'!H$13</f>
        <v>115.082720163962</v>
      </c>
      <c r="I124" s="34" t="n">
        <f aca="false">H124*$A124+'ARR Model'!I$13</f>
        <v>108.341385719692</v>
      </c>
      <c r="J124" s="34" t="n">
        <f aca="false">I124*$A124+'ARR Model'!J$13</f>
        <v>103.420211575375</v>
      </c>
      <c r="K124" s="34" t="n">
        <f aca="false">J124*$A124+'ARR Model'!K$13</f>
        <v>99.8277544500241</v>
      </c>
      <c r="L124" s="34" t="n">
        <f aca="false">K124*$A124+'ARR Model'!L$13</f>
        <v>97.2052607485176</v>
      </c>
      <c r="M124" s="34" t="n">
        <f aca="false">SUMPRODUCT((B124:K124+C124:L124)/2*Inputs!$B$44,'ARR Model'!$C$9:$L$9,DCF!$C$5:$L$5)+AVERAGE(K124,L124)*Inputs!$B$44*'ARR Model'!$L$9*(1+Assumptions!$C$11)/(Assumptions!$C$10-Assumptions!$C$11)*DCF!$L$5</f>
        <v>318.657619615987</v>
      </c>
      <c r="N124" s="30" t="n">
        <f aca="false">(M124+Inputs!$B$13-Inputs!$B$14)/Inputs!$B$9*Inputs!$B$6</f>
        <v>15.3512016406353</v>
      </c>
    </row>
    <row r="125" customFormat="false" ht="15" hidden="false" customHeight="false" outlineLevel="0" collapsed="false">
      <c r="A125" s="20" t="n">
        <v>0.725</v>
      </c>
      <c r="B125" s="33" t="n">
        <f aca="false">'ARR Model'!$B$15</f>
        <v>255.1</v>
      </c>
      <c r="C125" s="34" t="n">
        <f aca="false">B125*$A125+'ARR Model'!C$13</f>
        <v>209.2785</v>
      </c>
      <c r="D125" s="34" t="n">
        <f aca="false">C125*$A125+'ARR Model'!D$13</f>
        <v>176.0579125</v>
      </c>
      <c r="E125" s="34" t="n">
        <f aca="false">D125*$A125+'ARR Model'!E$13</f>
        <v>151.9729865625</v>
      </c>
      <c r="F125" s="34" t="n">
        <f aca="false">E125*$A125+'ARR Model'!F$13</f>
        <v>134.511415257812</v>
      </c>
      <c r="G125" s="34" t="n">
        <f aca="false">F125*$A125+'ARR Model'!G$13</f>
        <v>121.851776061914</v>
      </c>
      <c r="H125" s="34" t="n">
        <f aca="false">G125*$A125+'ARR Model'!H$13</f>
        <v>112.673537644888</v>
      </c>
      <c r="I125" s="34" t="n">
        <f aca="false">H125*$A125+'ARR Model'!I$13</f>
        <v>106.019314792544</v>
      </c>
      <c r="J125" s="34" t="n">
        <f aca="false">I125*$A125+'ARR Model'!J$13</f>
        <v>101.195003224594</v>
      </c>
      <c r="K125" s="34" t="n">
        <f aca="false">J125*$A125+'ARR Model'!K$13</f>
        <v>97.6973773378307</v>
      </c>
      <c r="L125" s="34" t="n">
        <f aca="false">K125*$A125+'ARR Model'!L$13</f>
        <v>95.1615985699273</v>
      </c>
      <c r="M125" s="34" t="n">
        <f aca="false">SUMPRODUCT((B125:K125+C125:L125)/2*Inputs!$B$44,'ARR Model'!$C$9:$L$9,DCF!$C$5:$L$5)+AVERAGE(K125,L125)*Inputs!$B$44*'ARR Model'!$L$9*(1+Assumptions!$C$11)/(Assumptions!$C$10-Assumptions!$C$11)*DCF!$L$5</f>
        <v>313.522662226187</v>
      </c>
      <c r="N125" s="30" t="n">
        <f aca="false">(M125+Inputs!$B$13-Inputs!$B$14)/Inputs!$B$9*Inputs!$B$6</f>
        <v>15.0633770413176</v>
      </c>
    </row>
    <row r="126" customFormat="false" ht="15" hidden="false" customHeight="false" outlineLevel="0" collapsed="false">
      <c r="A126" s="20" t="n">
        <v>0.72</v>
      </c>
      <c r="B126" s="33" t="n">
        <f aca="false">'ARR Model'!$B$15</f>
        <v>255.1</v>
      </c>
      <c r="C126" s="34" t="n">
        <f aca="false">B126*$A126+'ARR Model'!C$13</f>
        <v>208.003</v>
      </c>
      <c r="D126" s="34" t="n">
        <f aca="false">C126*$A126+'ARR Model'!D$13</f>
        <v>174.09316</v>
      </c>
      <c r="E126" s="34" t="n">
        <f aca="false">D126*$A126+'ARR Model'!E$13</f>
        <v>149.6780752</v>
      </c>
      <c r="F126" s="34" t="n">
        <f aca="false">E126*$A126+'ARR Model'!F$13</f>
        <v>132.099214144</v>
      </c>
      <c r="G126" s="34" t="n">
        <f aca="false">F126*$A126+'ARR Model'!G$13</f>
        <v>119.44243418368</v>
      </c>
      <c r="H126" s="34" t="n">
        <f aca="false">G126*$A126+'ARR Model'!H$13</f>
        <v>110.32955261225</v>
      </c>
      <c r="I126" s="34" t="n">
        <f aca="false">H126*$A126+'ARR Model'!I$13</f>
        <v>103.76827788082</v>
      </c>
      <c r="J126" s="34" t="n">
        <f aca="false">I126*$A126+'ARR Model'!J$13</f>
        <v>99.0441600741902</v>
      </c>
      <c r="K126" s="34" t="n">
        <f aca="false">J126*$A126+'ARR Model'!K$13</f>
        <v>95.642795253417</v>
      </c>
      <c r="L126" s="34" t="n">
        <f aca="false">K126*$A126+'ARR Model'!L$13</f>
        <v>93.1938125824602</v>
      </c>
      <c r="M126" s="34" t="n">
        <f aca="false">SUMPRODUCT((B126:K126+C126:L126)/2*Inputs!$B$44,'ARR Model'!$C$9:$L$9,DCF!$C$5:$L$5)+AVERAGE(K126,L126)*Inputs!$B$44*'ARR Model'!$L$9*(1+Assumptions!$C$11)/(Assumptions!$C$10-Assumptions!$C$11)*DCF!$L$5</f>
        <v>308.530729426733</v>
      </c>
      <c r="N126" s="30" t="n">
        <f aca="false">(M126+Inputs!$B$13-Inputs!$B$14)/Inputs!$B$9*Inputs!$B$6</f>
        <v>14.7835692554384</v>
      </c>
    </row>
    <row r="127" customFormat="false" ht="15" hidden="false" customHeight="false" outlineLevel="0" collapsed="false">
      <c r="A127" s="20" t="n">
        <v>0.715</v>
      </c>
      <c r="B127" s="33" t="n">
        <f aca="false">'ARR Model'!$B$15</f>
        <v>255.1</v>
      </c>
      <c r="C127" s="34" t="n">
        <f aca="false">B127*$A127+'ARR Model'!C$13</f>
        <v>206.7275</v>
      </c>
      <c r="D127" s="34" t="n">
        <f aca="false">C127*$A127+'ARR Model'!D$13</f>
        <v>172.1411625</v>
      </c>
      <c r="E127" s="34" t="n">
        <f aca="false">D127*$A127+'ARR Model'!E$13</f>
        <v>147.4119311875</v>
      </c>
      <c r="F127" s="34" t="n">
        <f aca="false">E127*$A127+'ARR Model'!F$13</f>
        <v>129.730530799062</v>
      </c>
      <c r="G127" s="34" t="n">
        <f aca="false">F127*$A127+'ARR Model'!G$13</f>
        <v>117.08832952133</v>
      </c>
      <c r="H127" s="34" t="n">
        <f aca="false">G127*$A127+'ARR Model'!H$13</f>
        <v>108.049155607751</v>
      </c>
      <c r="I127" s="34" t="n">
        <f aca="false">H127*$A127+'ARR Model'!I$13</f>
        <v>101.586146259542</v>
      </c>
      <c r="J127" s="34" t="n">
        <f aca="false">I127*$A127+'ARR Model'!J$13</f>
        <v>96.9650945755724</v>
      </c>
      <c r="K127" s="34" t="n">
        <f aca="false">J127*$A127+'ARR Model'!K$13</f>
        <v>93.6610426215342</v>
      </c>
      <c r="L127" s="34" t="n">
        <f aca="false">K127*$A127+'ARR Model'!L$13</f>
        <v>91.298645474397</v>
      </c>
      <c r="M127" s="34" t="n">
        <f aca="false">SUMPRODUCT((B127:K127+C127:L127)/2*Inputs!$B$44,'ARR Model'!$C$9:$L$9,DCF!$C$5:$L$5)+AVERAGE(K127,L127)*Inputs!$B$44*'ARR Model'!$L$9*(1+Assumptions!$C$11)/(Assumptions!$C$10-Assumptions!$C$11)*DCF!$L$5</f>
        <v>303.676815838855</v>
      </c>
      <c r="N127" s="30" t="n">
        <f aca="false">(M127+Inputs!$B$13-Inputs!$B$14)/Inputs!$B$9*Inputs!$B$6</f>
        <v>14.5114977215384</v>
      </c>
    </row>
    <row r="128" customFormat="false" ht="15" hidden="false" customHeight="false" outlineLevel="0" collapsed="false">
      <c r="A128" s="20" t="n">
        <v>0.71</v>
      </c>
      <c r="B128" s="33" t="n">
        <f aca="false">'ARR Model'!$B$15</f>
        <v>255.1</v>
      </c>
      <c r="C128" s="34" t="n">
        <f aca="false">B128*$A128+'ARR Model'!C$13</f>
        <v>205.452</v>
      </c>
      <c r="D128" s="34" t="n">
        <f aca="false">C128*$A128+'ARR Model'!D$13</f>
        <v>170.20192</v>
      </c>
      <c r="E128" s="34" t="n">
        <f aca="false">D128*$A128+'ARR Model'!E$13</f>
        <v>145.1743632</v>
      </c>
      <c r="F128" s="34" t="n">
        <f aca="false">E128*$A128+'ARR Model'!F$13</f>
        <v>127.404797872</v>
      </c>
      <c r="G128" s="34" t="n">
        <f aca="false">F128*$A128+'ARR Model'!G$13</f>
        <v>114.78840648912</v>
      </c>
      <c r="H128" s="34" t="n">
        <f aca="false">G128*$A128+'ARR Model'!H$13</f>
        <v>105.830768607275</v>
      </c>
      <c r="I128" s="34" t="n">
        <f aca="false">H128*$A128+'ARR Model'!I$13</f>
        <v>99.4708457111654</v>
      </c>
      <c r="J128" s="34" t="n">
        <f aca="false">I128*$A128+'ARR Model'!J$13</f>
        <v>94.9553004549274</v>
      </c>
      <c r="K128" s="34" t="n">
        <f aca="false">J128*$A128+'ARR Model'!K$13</f>
        <v>91.7492633229985</v>
      </c>
      <c r="L128" s="34" t="n">
        <f aca="false">K128*$A128+'ARR Model'!L$13</f>
        <v>89.4729769593289</v>
      </c>
      <c r="M128" s="34" t="n">
        <f aca="false">SUMPRODUCT((B128:K128+C128:L128)/2*Inputs!$B$44,'ARR Model'!$C$9:$L$9,DCF!$C$5:$L$5)+AVERAGE(K128,L128)*Inputs!$B$44*'ARR Model'!$L$9*(1+Assumptions!$C$11)/(Assumptions!$C$10-Assumptions!$C$11)*DCF!$L$5</f>
        <v>298.95609702768</v>
      </c>
      <c r="N128" s="30" t="n">
        <f aca="false">(M128+Inputs!$B$13-Inputs!$B$14)/Inputs!$B$9*Inputs!$B$6</f>
        <v>14.2468920204245</v>
      </c>
    </row>
    <row r="129" customFormat="false" ht="15" hidden="false" customHeight="false" outlineLevel="0" collapsed="false">
      <c r="A129" s="20" t="n">
        <v>0.705</v>
      </c>
      <c r="B129" s="33" t="n">
        <f aca="false">'ARR Model'!$B$15</f>
        <v>255.1</v>
      </c>
      <c r="C129" s="34" t="n">
        <f aca="false">B129*$A129+'ARR Model'!C$13</f>
        <v>204.1765</v>
      </c>
      <c r="D129" s="34" t="n">
        <f aca="false">C129*$A129+'ARR Model'!D$13</f>
        <v>168.2754325</v>
      </c>
      <c r="E129" s="34" t="n">
        <f aca="false">D129*$A129+'ARR Model'!E$13</f>
        <v>142.9651799125</v>
      </c>
      <c r="F129" s="34" t="n">
        <f aca="false">E129*$A129+'ARR Model'!F$13</f>
        <v>125.121451838313</v>
      </c>
      <c r="G129" s="34" t="n">
        <f aca="false">F129*$A129+'ARR Model'!G$13</f>
        <v>112.54162354601</v>
      </c>
      <c r="H129" s="34" t="n">
        <f aca="false">G129*$A129+'ARR Model'!H$13</f>
        <v>103.672844599937</v>
      </c>
      <c r="I129" s="34" t="n">
        <f aca="false">H129*$A129+'ARR Model'!I$13</f>
        <v>97.4203554429558</v>
      </c>
      <c r="J129" s="34" t="n">
        <f aca="false">I129*$A129+'ARR Model'!J$13</f>
        <v>93.0123505872838</v>
      </c>
      <c r="K129" s="34" t="n">
        <f aca="false">J129*$A129+'ARR Model'!K$13</f>
        <v>89.9047071640351</v>
      </c>
      <c r="L129" s="34" t="n">
        <f aca="false">K129*$A129+'ARR Model'!L$13</f>
        <v>87.7138185506447</v>
      </c>
      <c r="M129" s="34" t="n">
        <f aca="false">SUMPRODUCT((B129:K129+C129:L129)/2*Inputs!$B$44,'ARR Model'!$C$9:$L$9,DCF!$C$5:$L$5)+AVERAGE(K129,L129)*Inputs!$B$44*'ARR Model'!$L$9*(1+Assumptions!$C$11)/(Assumptions!$C$10-Assumptions!$C$11)*DCF!$L$5</f>
        <v>294.363923417404</v>
      </c>
      <c r="N129" s="30" t="n">
        <f aca="false">(M129+Inputs!$B$13-Inputs!$B$14)/Inputs!$B$9*Inputs!$B$6</f>
        <v>13.9894915341029</v>
      </c>
    </row>
    <row r="130" customFormat="false" ht="15" hidden="false" customHeight="false" outlineLevel="0" collapsed="false">
      <c r="A130" s="20" t="n">
        <v>0.7</v>
      </c>
      <c r="B130" s="33" t="n">
        <f aca="false">'ARR Model'!$B$15</f>
        <v>255.1</v>
      </c>
      <c r="C130" s="34" t="n">
        <f aca="false">B130*$A130+'ARR Model'!C$13</f>
        <v>202.901</v>
      </c>
      <c r="D130" s="34" t="n">
        <f aca="false">C130*$A130+'ARR Model'!D$13</f>
        <v>166.3617</v>
      </c>
      <c r="E130" s="34" t="n">
        <f aca="false">D130*$A130+'ARR Model'!E$13</f>
        <v>140.78419</v>
      </c>
      <c r="F130" s="34" t="n">
        <f aca="false">E130*$A130+'ARR Model'!F$13</f>
        <v>122.879933</v>
      </c>
      <c r="G130" s="34" t="n">
        <f aca="false">F130*$A130+'ARR Model'!G$13</f>
        <v>110.3469531</v>
      </c>
      <c r="H130" s="34" t="n">
        <f aca="false">G130*$A130+'ARR Model'!H$13</f>
        <v>101.57386717</v>
      </c>
      <c r="I130" s="34" t="n">
        <f aca="false">H130*$A130+'ARR Model'!I$13</f>
        <v>95.432707019</v>
      </c>
      <c r="J130" s="34" t="n">
        <f aca="false">I130*$A130+'ARR Model'!J$13</f>
        <v>91.1338949133</v>
      </c>
      <c r="K130" s="34" t="n">
        <f aca="false">J130*$A130+'ARR Model'!K$13</f>
        <v>88.12472643931</v>
      </c>
      <c r="L130" s="34" t="n">
        <f aca="false">K130*$A130+'ARR Model'!L$13</f>
        <v>86.018308507517</v>
      </c>
      <c r="M130" s="34" t="n">
        <f aca="false">SUMPRODUCT((B130:K130+C130:L130)/2*Inputs!$B$44,'ARR Model'!$C$9:$L$9,DCF!$C$5:$L$5)+AVERAGE(K130,L130)*Inputs!$B$44*'ARR Model'!$L$9*(1+Assumptions!$C$11)/(Assumptions!$C$10-Assumptions!$C$11)*DCF!$L$5</f>
        <v>289.895814384407</v>
      </c>
      <c r="N130" s="30" t="n">
        <f aca="false">(M130+Inputs!$B$13-Inputs!$B$14)/Inputs!$B$9*Inputs!$B$6</f>
        <v>13.7390451146866</v>
      </c>
    </row>
    <row r="131" customFormat="false" ht="15" hidden="false" customHeight="false" outlineLevel="0" collapsed="false">
      <c r="A131" s="20" t="n">
        <v>0.695</v>
      </c>
      <c r="B131" s="33" t="n">
        <f aca="false">'ARR Model'!$B$15</f>
        <v>255.1</v>
      </c>
      <c r="C131" s="34" t="n">
        <f aca="false">B131*$A131+'ARR Model'!C$13</f>
        <v>201.6255</v>
      </c>
      <c r="D131" s="34" t="n">
        <f aca="false">C131*$A131+'ARR Model'!D$13</f>
        <v>164.4607225</v>
      </c>
      <c r="E131" s="34" t="n">
        <f aca="false">D131*$A131+'ARR Model'!E$13</f>
        <v>138.6312021375</v>
      </c>
      <c r="F131" s="34" t="n">
        <f aca="false">E131*$A131+'ARR Model'!F$13</f>
        <v>120.679685485563</v>
      </c>
      <c r="G131" s="34" t="n">
        <f aca="false">F131*$A131+'ARR Model'!G$13</f>
        <v>108.203381412466</v>
      </c>
      <c r="H131" s="34" t="n">
        <f aca="false">G131*$A131+'ARR Model'!H$13</f>
        <v>99.5323500816638</v>
      </c>
      <c r="I131" s="34" t="n">
        <f aca="false">H131*$A131+'ARR Model'!I$13</f>
        <v>93.5059833067564</v>
      </c>
      <c r="J131" s="34" t="n">
        <f aca="false">I131*$A131+'ARR Model'!J$13</f>
        <v>89.3176583981957</v>
      </c>
      <c r="K131" s="34" t="n">
        <f aca="false">J131*$A131+'ARR Model'!K$13</f>
        <v>86.406772586746</v>
      </c>
      <c r="L131" s="34" t="n">
        <f aca="false">K131*$A131+'ARR Model'!L$13</f>
        <v>84.3837069477885</v>
      </c>
      <c r="M131" s="34" t="n">
        <f aca="false">SUMPRODUCT((B131:K131+C131:L131)/2*Inputs!$B$44,'ARR Model'!$C$9:$L$9,DCF!$C$5:$L$5)+AVERAGE(K131,L131)*Inputs!$B$44*'ARR Model'!$L$9*(1+Assumptions!$C$11)/(Assumptions!$C$10-Assumptions!$C$11)*DCF!$L$5</f>
        <v>285.547452524064</v>
      </c>
      <c r="N131" s="30" t="n">
        <f aca="false">(M131+Inputs!$B$13-Inputs!$B$14)/Inputs!$B$9*Inputs!$B$6</f>
        <v>13.4953107630389</v>
      </c>
    </row>
    <row r="132" customFormat="false" ht="15" hidden="false" customHeight="false" outlineLevel="0" collapsed="false">
      <c r="A132" s="20" t="n">
        <v>0.69</v>
      </c>
      <c r="B132" s="33" t="n">
        <f aca="false">'ARR Model'!$B$15</f>
        <v>255.1</v>
      </c>
      <c r="C132" s="34" t="n">
        <f aca="false">B132*$A132+'ARR Model'!C$13</f>
        <v>200.35</v>
      </c>
      <c r="D132" s="34" t="n">
        <f aca="false">C132*$A132+'ARR Model'!D$13</f>
        <v>162.5725</v>
      </c>
      <c r="E132" s="34" t="n">
        <f aca="false">D132*$A132+'ARR Model'!E$13</f>
        <v>136.506025</v>
      </c>
      <c r="F132" s="34" t="n">
        <f aca="false">E132*$A132+'ARR Model'!F$13</f>
        <v>118.52015725</v>
      </c>
      <c r="G132" s="34" t="n">
        <f aca="false">F132*$A132+'ARR Model'!G$13</f>
        <v>106.1099085025</v>
      </c>
      <c r="H132" s="34" t="n">
        <f aca="false">G132*$A132+'ARR Model'!H$13</f>
        <v>97.546836866725</v>
      </c>
      <c r="I132" s="34" t="n">
        <f aca="false">H132*$A132+'ARR Model'!I$13</f>
        <v>91.6383174380402</v>
      </c>
      <c r="J132" s="34" t="n">
        <f aca="false">I132*$A132+'ARR Model'!J$13</f>
        <v>87.5614390322478</v>
      </c>
      <c r="K132" s="34" t="n">
        <f aca="false">J132*$A132+'ARR Model'!K$13</f>
        <v>84.748392932251</v>
      </c>
      <c r="L132" s="34" t="n">
        <f aca="false">K132*$A132+'ARR Model'!L$13</f>
        <v>82.8073911232532</v>
      </c>
      <c r="M132" s="34" t="n">
        <f aca="false">SUMPRODUCT((B132:K132+C132:L132)/2*Inputs!$B$44,'ARR Model'!$C$9:$L$9,DCF!$C$5:$L$5)+AVERAGE(K132,L132)*Inputs!$B$44*'ARR Model'!$L$9*(1+Assumptions!$C$11)/(Assumptions!$C$10-Assumptions!$C$11)*DCF!$L$5</f>
        <v>281.314678087059</v>
      </c>
      <c r="N132" s="30" t="n">
        <f aca="false">(M132+Inputs!$B$13-Inputs!$B$14)/Inputs!$B$9*Inputs!$B$6</f>
        <v>13.2580553169171</v>
      </c>
    </row>
    <row r="133" customFormat="false" ht="15" hidden="false" customHeight="false" outlineLevel="0" collapsed="false">
      <c r="A133" s="20" t="n">
        <v>0.685</v>
      </c>
      <c r="B133" s="33" t="n">
        <f aca="false">'ARR Model'!$B$15</f>
        <v>255.1</v>
      </c>
      <c r="C133" s="34" t="n">
        <f aca="false">B133*$A133+'ARR Model'!C$13</f>
        <v>199.0745</v>
      </c>
      <c r="D133" s="34" t="n">
        <f aca="false">C133*$A133+'ARR Model'!D$13</f>
        <v>160.6970325</v>
      </c>
      <c r="E133" s="34" t="n">
        <f aca="false">D133*$A133+'ARR Model'!E$13</f>
        <v>134.4084672625</v>
      </c>
      <c r="F133" s="34" t="n">
        <f aca="false">E133*$A133+'ARR Model'!F$13</f>
        <v>116.400800074813</v>
      </c>
      <c r="G133" s="34" t="n">
        <f aca="false">F133*$A133+'ARR Model'!G$13</f>
        <v>104.065548051247</v>
      </c>
      <c r="H133" s="34" t="n">
        <f aca="false">G133*$A133+'ARR Model'!H$13</f>
        <v>95.6159004151039</v>
      </c>
      <c r="I133" s="34" t="n">
        <f aca="false">H133*$A133+'ARR Model'!I$13</f>
        <v>89.8278917843462</v>
      </c>
      <c r="J133" s="34" t="n">
        <f aca="false">I133*$A133+'ARR Model'!J$13</f>
        <v>85.8631058722772</v>
      </c>
      <c r="K133" s="34" t="n">
        <f aca="false">J133*$A133+'ARR Model'!K$13</f>
        <v>83.1472275225099</v>
      </c>
      <c r="L133" s="34" t="n">
        <f aca="false">K133*$A133+'ARR Model'!L$13</f>
        <v>81.2868508529193</v>
      </c>
      <c r="M133" s="34" t="n">
        <f aca="false">SUMPRODUCT((B133:K133+C133:L133)/2*Inputs!$B$44,'ARR Model'!$C$9:$L$9,DCF!$C$5:$L$5)+AVERAGE(K133,L133)*Inputs!$B$44*'ARR Model'!$L$9*(1+Assumptions!$C$11)/(Assumptions!$C$10-Assumptions!$C$11)*DCF!$L$5</f>
        <v>277.193483581094</v>
      </c>
      <c r="N133" s="30" t="n">
        <f aca="false">(M133+Inputs!$B$13-Inputs!$B$14)/Inputs!$B$9*Inputs!$B$6</f>
        <v>13.0270541483882</v>
      </c>
    </row>
    <row r="134" customFormat="false" ht="15" hidden="false" customHeight="false" outlineLevel="0" collapsed="false">
      <c r="A134" s="20" t="n">
        <v>0.68</v>
      </c>
      <c r="B134" s="33" t="n">
        <f aca="false">'ARR Model'!$B$15</f>
        <v>255.1</v>
      </c>
      <c r="C134" s="34" t="n">
        <f aca="false">B134*$A134+'ARR Model'!C$13</f>
        <v>197.799</v>
      </c>
      <c r="D134" s="34" t="n">
        <f aca="false">C134*$A134+'ARR Model'!D$13</f>
        <v>158.83432</v>
      </c>
      <c r="E134" s="34" t="n">
        <f aca="false">D134*$A134+'ARR Model'!E$13</f>
        <v>132.3383376</v>
      </c>
      <c r="F134" s="34" t="n">
        <f aca="false">E134*$A134+'ARR Model'!F$13</f>
        <v>114.321069568</v>
      </c>
      <c r="G134" s="34" t="n">
        <f aca="false">F134*$A134+'ARR Model'!G$13</f>
        <v>102.06932730624</v>
      </c>
      <c r="H134" s="34" t="n">
        <f aca="false">G134*$A134+'ARR Model'!H$13</f>
        <v>93.7381425682432</v>
      </c>
      <c r="I134" s="34" t="n">
        <f aca="false">H134*$A134+'ARR Model'!I$13</f>
        <v>88.0729369464054</v>
      </c>
      <c r="J134" s="34" t="n">
        <f aca="false">I134*$A134+'ARR Model'!J$13</f>
        <v>84.2205971235557</v>
      </c>
      <c r="K134" s="34" t="n">
        <f aca="false">J134*$A134+'ARR Model'!K$13</f>
        <v>81.6010060440179</v>
      </c>
      <c r="L134" s="34" t="n">
        <f aca="false">K134*$A134+'ARR Model'!L$13</f>
        <v>79.8196841099322</v>
      </c>
      <c r="M134" s="34" t="n">
        <f aca="false">SUMPRODUCT((B134:K134+C134:L134)/2*Inputs!$B$44,'ARR Model'!$C$9:$L$9,DCF!$C$5:$L$5)+AVERAGE(K134,L134)*Inputs!$B$44*'ARR Model'!$L$9*(1+Assumptions!$C$11)/(Assumptions!$C$10-Assumptions!$C$11)*DCF!$L$5</f>
        <v>273.180008533975</v>
      </c>
      <c r="N134" s="30" t="n">
        <f aca="false">(M134+Inputs!$B$13-Inputs!$B$14)/Inputs!$B$9*Inputs!$B$6</f>
        <v>12.8020908702891</v>
      </c>
    </row>
    <row r="135" customFormat="false" ht="15" hidden="false" customHeight="false" outlineLevel="0" collapsed="false">
      <c r="A135" s="20" t="n">
        <v>0.675</v>
      </c>
      <c r="B135" s="33" t="n">
        <f aca="false">'ARR Model'!$B$15</f>
        <v>255.1</v>
      </c>
      <c r="C135" s="34" t="n">
        <f aca="false">B135*$A135+'ARR Model'!C$13</f>
        <v>196.5235</v>
      </c>
      <c r="D135" s="34" t="n">
        <f aca="false">C135*$A135+'ARR Model'!D$13</f>
        <v>156.9843625</v>
      </c>
      <c r="E135" s="34" t="n">
        <f aca="false">D135*$A135+'ARR Model'!E$13</f>
        <v>130.2954446875</v>
      </c>
      <c r="F135" s="34" t="n">
        <f aca="false">E135*$A135+'ARR Model'!F$13</f>
        <v>112.280425164063</v>
      </c>
      <c r="G135" s="34" t="n">
        <f aca="false">F135*$A135+'ARR Model'!G$13</f>
        <v>100.120286985742</v>
      </c>
      <c r="H135" s="34" t="n">
        <f aca="false">G135*$A135+'ARR Model'!H$13</f>
        <v>91.912193715376</v>
      </c>
      <c r="I135" s="34" t="n">
        <f aca="false">H135*$A135+'ARR Model'!I$13</f>
        <v>86.3717307578788</v>
      </c>
      <c r="J135" s="34" t="n">
        <f aca="false">I135*$A135+'ARR Model'!J$13</f>
        <v>82.6319182615682</v>
      </c>
      <c r="K135" s="34" t="n">
        <f aca="false">J135*$A135+'ARR Model'!K$13</f>
        <v>80.1075448265586</v>
      </c>
      <c r="L135" s="34" t="n">
        <f aca="false">K135*$A135+'ARR Model'!L$13</f>
        <v>78.403592757927</v>
      </c>
      <c r="M135" s="34" t="n">
        <f aca="false">SUMPRODUCT((B135:K135+C135:L135)/2*Inputs!$B$44,'ARR Model'!$C$9:$L$9,DCF!$C$5:$L$5)+AVERAGE(K135,L135)*Inputs!$B$44*'ARR Model'!$L$9*(1+Assumptions!$C$11)/(Assumptions!$C$10-Assumptions!$C$11)*DCF!$L$5</f>
        <v>269.270534414108</v>
      </c>
      <c r="N135" s="30" t="n">
        <f aca="false">(M135+Inputs!$B$13-Inputs!$B$14)/Inputs!$B$9*Inputs!$B$6</f>
        <v>12.5829570515102</v>
      </c>
    </row>
    <row r="136" customFormat="false" ht="15" hidden="false" customHeight="false" outlineLevel="0" collapsed="false">
      <c r="A136" s="20" t="n">
        <v>0.67</v>
      </c>
      <c r="B136" s="33" t="n">
        <f aca="false">'ARR Model'!$B$15</f>
        <v>255.1</v>
      </c>
      <c r="C136" s="34" t="n">
        <f aca="false">B136*$A136+'ARR Model'!C$13</f>
        <v>195.248</v>
      </c>
      <c r="D136" s="34" t="n">
        <f aca="false">C136*$A136+'ARR Model'!D$13</f>
        <v>155.14716</v>
      </c>
      <c r="E136" s="34" t="n">
        <f aca="false">D136*$A136+'ARR Model'!E$13</f>
        <v>128.2795972</v>
      </c>
      <c r="F136" s="34" t="n">
        <f aca="false">E136*$A136+'ARR Model'!F$13</f>
        <v>110.278330124</v>
      </c>
      <c r="G136" s="34" t="n">
        <f aca="false">F136*$A136+'ARR Model'!G$13</f>
        <v>98.21748118308</v>
      </c>
      <c r="H136" s="34" t="n">
        <f aca="false">G136*$A136+'ARR Model'!H$13</f>
        <v>90.1367123926636</v>
      </c>
      <c r="I136" s="34" t="n">
        <f aca="false">H136*$A136+'ARR Model'!I$13</f>
        <v>84.7225973030846</v>
      </c>
      <c r="J136" s="34" t="n">
        <f aca="false">I136*$A136+'ARR Model'!J$13</f>
        <v>81.0951401930667</v>
      </c>
      <c r="K136" s="34" t="n">
        <f aca="false">J136*$A136+'ARR Model'!K$13</f>
        <v>78.6647439293547</v>
      </c>
      <c r="L136" s="34" t="n">
        <f aca="false">K136*$A136+'ARR Model'!L$13</f>
        <v>77.0363784326677</v>
      </c>
      <c r="M136" s="34" t="n">
        <f aca="false">SUMPRODUCT((B136:K136+C136:L136)/2*Inputs!$B$44,'ARR Model'!$C$9:$L$9,DCF!$C$5:$L$5)+AVERAGE(K136,L136)*Inputs!$B$44*'ARR Model'!$L$9*(1+Assumptions!$C$11)/(Assumptions!$C$10-Assumptions!$C$11)*DCF!$L$5</f>
        <v>265.461479704527</v>
      </c>
      <c r="N136" s="30" t="n">
        <f aca="false">(M136+Inputs!$B$13-Inputs!$B$14)/Inputs!$B$9*Inputs!$B$6</f>
        <v>12.3694519408851</v>
      </c>
    </row>
    <row r="137" customFormat="false" ht="15" hidden="false" customHeight="false" outlineLevel="0" collapsed="false">
      <c r="A137" s="20" t="n">
        <v>0.665</v>
      </c>
      <c r="B137" s="33" t="n">
        <f aca="false">'ARR Model'!$B$15</f>
        <v>255.1</v>
      </c>
      <c r="C137" s="34" t="n">
        <f aca="false">B137*$A137+'ARR Model'!C$13</f>
        <v>193.9725</v>
      </c>
      <c r="D137" s="34" t="n">
        <f aca="false">C137*$A137+'ARR Model'!D$13</f>
        <v>153.3227125</v>
      </c>
      <c r="E137" s="34" t="n">
        <f aca="false">D137*$A137+'ARR Model'!E$13</f>
        <v>126.2906038125</v>
      </c>
      <c r="F137" s="34" t="n">
        <f aca="false">E137*$A137+'ARR Model'!F$13</f>
        <v>108.314251535313</v>
      </c>
      <c r="G137" s="34" t="n">
        <f aca="false">F137*$A137+'ARR Model'!G$13</f>
        <v>96.3599772709828</v>
      </c>
      <c r="H137" s="34" t="n">
        <f aca="false">G137*$A137+'ARR Model'!H$13</f>
        <v>88.4103848852036</v>
      </c>
      <c r="I137" s="34" t="n">
        <f aca="false">H137*$A137+'ARR Model'!I$13</f>
        <v>83.1239059486604</v>
      </c>
      <c r="J137" s="34" t="n">
        <f aca="false">I137*$A137+'ARR Model'!J$13</f>
        <v>79.6083974558592</v>
      </c>
      <c r="K137" s="34" t="n">
        <f aca="false">J137*$A137+'ARR Model'!K$13</f>
        <v>77.2705843081464</v>
      </c>
      <c r="L137" s="34" t="n">
        <f aca="false">K137*$A137+'ARR Model'!L$13</f>
        <v>75.7159385649173</v>
      </c>
      <c r="M137" s="34" t="n">
        <f aca="false">SUMPRODUCT((B137:K137+C137:L137)/2*Inputs!$B$44,'ARR Model'!$C$9:$L$9,DCF!$C$5:$L$5)+AVERAGE(K137,L137)*Inputs!$B$44*'ARR Model'!$L$9*(1+Assumptions!$C$11)/(Assumptions!$C$10-Assumptions!$C$11)*DCF!$L$5</f>
        <v>261.749395126643</v>
      </c>
      <c r="N137" s="30" t="n">
        <f aca="false">(M137+Inputs!$B$13-Inputs!$B$14)/Inputs!$B$9*Inputs!$B$6</f>
        <v>12.161382199472</v>
      </c>
    </row>
    <row r="138" customFormat="false" ht="15" hidden="false" customHeight="false" outlineLevel="0" collapsed="false">
      <c r="A138" s="20" t="n">
        <v>0.66</v>
      </c>
      <c r="B138" s="33" t="n">
        <f aca="false">'ARR Model'!$B$15</f>
        <v>255.1</v>
      </c>
      <c r="C138" s="34" t="n">
        <f aca="false">B138*$A138+'ARR Model'!C$13</f>
        <v>192.697</v>
      </c>
      <c r="D138" s="34" t="n">
        <f aca="false">C138*$A138+'ARR Model'!D$13</f>
        <v>151.51102</v>
      </c>
      <c r="E138" s="34" t="n">
        <f aca="false">D138*$A138+'ARR Model'!E$13</f>
        <v>124.3282732</v>
      </c>
      <c r="F138" s="34" t="n">
        <f aca="false">E138*$A138+'ARR Model'!F$13</f>
        <v>106.387660312</v>
      </c>
      <c r="G138" s="34" t="n">
        <f aca="false">F138*$A138+'ARR Model'!G$13</f>
        <v>94.54685580592</v>
      </c>
      <c r="H138" s="34" t="n">
        <f aca="false">G138*$A138+'ARR Model'!H$13</f>
        <v>86.7319248319072</v>
      </c>
      <c r="I138" s="34" t="n">
        <f aca="false">H138*$A138+'ARR Model'!I$13</f>
        <v>81.5740703890588</v>
      </c>
      <c r="J138" s="34" t="n">
        <f aca="false">I138*$A138+'ARR Model'!J$13</f>
        <v>78.1698864567788</v>
      </c>
      <c r="K138" s="34" t="n">
        <f aca="false">J138*$A138+'ARR Model'!K$13</f>
        <v>75.923125061474</v>
      </c>
      <c r="L138" s="34" t="n">
        <f aca="false">K138*$A138+'ARR Model'!L$13</f>
        <v>74.4402625405729</v>
      </c>
      <c r="M138" s="34" t="n">
        <f aca="false">SUMPRODUCT((B138:K138+C138:L138)/2*Inputs!$B$44,'ARR Model'!$C$9:$L$9,DCF!$C$5:$L$5)+AVERAGE(K138,L138)*Inputs!$B$44*'ARR Model'!$L$9*(1+Assumptions!$C$11)/(Assumptions!$C$10-Assumptions!$C$11)*DCF!$L$5</f>
        <v>258.130959009984</v>
      </c>
      <c r="N138" s="30" t="n">
        <f aca="false">(M138+Inputs!$B$13-Inputs!$B$14)/Inputs!$B$9*Inputs!$B$6</f>
        <v>11.9585616410185</v>
      </c>
    </row>
    <row r="139" customFormat="false" ht="15" hidden="false" customHeight="false" outlineLevel="0" collapsed="false">
      <c r="A139" s="20" t="n">
        <v>0.655</v>
      </c>
      <c r="B139" s="33" t="n">
        <f aca="false">'ARR Model'!$B$15</f>
        <v>255.1</v>
      </c>
      <c r="C139" s="34" t="n">
        <f aca="false">B139*$A139+'ARR Model'!C$13</f>
        <v>191.4215</v>
      </c>
      <c r="D139" s="34" t="n">
        <f aca="false">C139*$A139+'ARR Model'!D$13</f>
        <v>149.7120825</v>
      </c>
      <c r="E139" s="34" t="n">
        <f aca="false">D139*$A139+'ARR Model'!E$13</f>
        <v>122.3924140375</v>
      </c>
      <c r="F139" s="34" t="n">
        <f aca="false">E139*$A139+'ARR Model'!F$13</f>
        <v>104.498031194563</v>
      </c>
      <c r="G139" s="34" t="n">
        <f aca="false">F139*$A139+'ARR Model'!G$13</f>
        <v>92.7772104324385</v>
      </c>
      <c r="H139" s="34" t="n">
        <f aca="false">G139*$A139+'ARR Model'!H$13</f>
        <v>85.1000728332472</v>
      </c>
      <c r="I139" s="34" t="n">
        <f aca="false">H139*$A139+'ARR Model'!I$13</f>
        <v>80.0715477057769</v>
      </c>
      <c r="J139" s="34" t="n">
        <f aca="false">I139*$A139+'ARR Model'!J$13</f>
        <v>76.7778637472839</v>
      </c>
      <c r="K139" s="34" t="n">
        <f aca="false">J139*$A139+'ARR Model'!K$13</f>
        <v>74.620500754471</v>
      </c>
      <c r="L139" s="34" t="n">
        <f aca="false">K139*$A139+'ARR Model'!L$13</f>
        <v>73.2074279941785</v>
      </c>
      <c r="M139" s="34" t="n">
        <f aca="false">SUMPRODUCT((B139:K139+C139:L139)/2*Inputs!$B$44,'ARR Model'!$C$9:$L$9,DCF!$C$5:$L$5)+AVERAGE(K139,L139)*Inputs!$B$44*'ARR Model'!$L$9*(1+Assumptions!$C$11)/(Assumptions!$C$10-Assumptions!$C$11)*DCF!$L$5</f>
        <v>254.602972804243</v>
      </c>
      <c r="N139" s="30" t="n">
        <f aca="false">(M139+Inputs!$B$13-Inputs!$B$14)/Inputs!$B$9*Inputs!$B$6</f>
        <v>11.7608109804029</v>
      </c>
    </row>
    <row r="140" customFormat="false" ht="15" hidden="false" customHeight="false" outlineLevel="0" collapsed="false">
      <c r="A140" s="20" t="n">
        <v>0.65</v>
      </c>
      <c r="B140" s="33" t="n">
        <f aca="false">'ARR Model'!$B$15</f>
        <v>255.1</v>
      </c>
      <c r="C140" s="34" t="n">
        <f aca="false">B140*$A140+'ARR Model'!C$13</f>
        <v>190.146</v>
      </c>
      <c r="D140" s="34" t="n">
        <f aca="false">C140*$A140+'ARR Model'!D$13</f>
        <v>147.9259</v>
      </c>
      <c r="E140" s="34" t="n">
        <f aca="false">D140*$A140+'ARR Model'!E$13</f>
        <v>120.482835</v>
      </c>
      <c r="F140" s="34" t="n">
        <f aca="false">E140*$A140+'ARR Model'!F$13</f>
        <v>102.64484275</v>
      </c>
      <c r="G140" s="34" t="n">
        <f aca="false">F140*$A140+'ARR Model'!G$13</f>
        <v>91.0501477875</v>
      </c>
      <c r="H140" s="34" t="n">
        <f aca="false">G140*$A140+'ARR Model'!H$13</f>
        <v>83.513596061875</v>
      </c>
      <c r="I140" s="34" t="n">
        <f aca="false">H140*$A140+'ARR Model'!I$13</f>
        <v>78.6148374402188</v>
      </c>
      <c r="J140" s="34" t="n">
        <f aca="false">I140*$A140+'ARR Model'!J$13</f>
        <v>75.4306443361422</v>
      </c>
      <c r="K140" s="34" t="n">
        <f aca="false">J140*$A140+'ARR Model'!K$13</f>
        <v>73.3609188184924</v>
      </c>
      <c r="L140" s="34" t="n">
        <f aca="false">K140*$A140+'ARR Model'!L$13</f>
        <v>72.0155972320201</v>
      </c>
      <c r="M140" s="34" t="n">
        <f aca="false">SUMPRODUCT((B140:K140+C140:L140)/2*Inputs!$B$44,'ARR Model'!$C$9:$L$9,DCF!$C$5:$L$5)+AVERAGE(K140,L140)*Inputs!$B$44*'ARR Model'!$L$9*(1+Assumptions!$C$11)/(Assumptions!$C$10-Assumptions!$C$11)*DCF!$L$5</f>
        <v>251.162356730055</v>
      </c>
      <c r="N140" s="30" t="n">
        <f aca="false">(M140+Inputs!$B$13-Inputs!$B$14)/Inputs!$B$9*Inputs!$B$6</f>
        <v>11.5679575898515</v>
      </c>
    </row>
    <row r="141" customFormat="false" ht="15" hidden="false" customHeight="false" outlineLevel="0" collapsed="false">
      <c r="A141" s="20" t="n">
        <v>0.645</v>
      </c>
      <c r="B141" s="33" t="n">
        <f aca="false">'ARR Model'!$B$15</f>
        <v>255.1</v>
      </c>
      <c r="C141" s="34" t="n">
        <f aca="false">B141*$A141+'ARR Model'!C$13</f>
        <v>188.8705</v>
      </c>
      <c r="D141" s="34" t="n">
        <f aca="false">C141*$A141+'ARR Model'!D$13</f>
        <v>146.1524725</v>
      </c>
      <c r="E141" s="34" t="n">
        <f aca="false">D141*$A141+'ARR Model'!E$13</f>
        <v>118.5993447625</v>
      </c>
      <c r="F141" s="34" t="n">
        <f aca="false">E141*$A141+'ARR Model'!F$13</f>
        <v>100.827577371813</v>
      </c>
      <c r="G141" s="34" t="n">
        <f aca="false">F141*$A141+'ARR Model'!G$13</f>
        <v>89.3647874048191</v>
      </c>
      <c r="H141" s="34" t="n">
        <f aca="false">G141*$A141+'ARR Model'!H$13</f>
        <v>81.9712878761083</v>
      </c>
      <c r="I141" s="34" t="n">
        <f aca="false">H141*$A141+'ARR Model'!I$13</f>
        <v>77.2024806800899</v>
      </c>
      <c r="J141" s="34" t="n">
        <f aca="false">I141*$A141+'ARR Model'!J$13</f>
        <v>74.126600038658</v>
      </c>
      <c r="K141" s="34" t="n">
        <f aca="false">J141*$A141+'ARR Model'!K$13</f>
        <v>72.1426570249344</v>
      </c>
      <c r="L141" s="34" t="n">
        <f aca="false">K141*$A141+'ARR Model'!L$13</f>
        <v>70.8630137810827</v>
      </c>
      <c r="M141" s="34" t="n">
        <f aca="false">SUMPRODUCT((B141:K141+C141:L141)/2*Inputs!$B$44,'ARR Model'!$C$9:$L$9,DCF!$C$5:$L$5)+AVERAGE(K141,L141)*Inputs!$B$44*'ARR Model'!$L$9*(1+Assumptions!$C$11)/(Assumptions!$C$10-Assumptions!$C$11)*DCF!$L$5</f>
        <v>247.806145564964</v>
      </c>
      <c r="N141" s="30" t="n">
        <f aca="false">(M141+Inputs!$B$13-Inputs!$B$14)/Inputs!$B$9*Inputs!$B$6</f>
        <v>11.3798352627341</v>
      </c>
    </row>
    <row r="142" customFormat="false" ht="15" hidden="false" customHeight="false" outlineLevel="0" collapsed="false">
      <c r="A142" s="20" t="n">
        <v>0.64</v>
      </c>
      <c r="B142" s="33" t="n">
        <f aca="false">'ARR Model'!$B$15</f>
        <v>255.1</v>
      </c>
      <c r="C142" s="34" t="n">
        <f aca="false">B142*$A142+'ARR Model'!C$13</f>
        <v>187.595</v>
      </c>
      <c r="D142" s="34" t="n">
        <f aca="false">C142*$A142+'ARR Model'!D$13</f>
        <v>144.3918</v>
      </c>
      <c r="E142" s="34" t="n">
        <f aca="false">D142*$A142+'ARR Model'!E$13</f>
        <v>116.741752</v>
      </c>
      <c r="F142" s="34" t="n">
        <f aca="false">E142*$A142+'ARR Model'!F$13</f>
        <v>99.04572128</v>
      </c>
      <c r="G142" s="34" t="n">
        <f aca="false">F142*$A142+'ARR Model'!G$13</f>
        <v>87.7202616192</v>
      </c>
      <c r="H142" s="34" t="n">
        <f aca="false">G142*$A142+'ARR Model'!H$13</f>
        <v>80.471967436288</v>
      </c>
      <c r="I142" s="34" t="n">
        <f aca="false">H142*$A142+'ARR Model'!I$13</f>
        <v>75.8330591592243</v>
      </c>
      <c r="J142" s="34" t="n">
        <f aca="false">I142*$A142+'ARR Model'!J$13</f>
        <v>72.8641578619036</v>
      </c>
      <c r="K142" s="34" t="n">
        <f aca="false">J142*$A142+'ARR Model'!K$13</f>
        <v>70.9640610316183</v>
      </c>
      <c r="L142" s="34" t="n">
        <f aca="false">K142*$A142+'ARR Model'!L$13</f>
        <v>69.7479990602357</v>
      </c>
      <c r="M142" s="34" t="n">
        <f aca="false">SUMPRODUCT((B142:K142+C142:L142)/2*Inputs!$B$44,'ARR Model'!$C$9:$L$9,DCF!$C$5:$L$5)+AVERAGE(K142,L142)*Inputs!$B$44*'ARR Model'!$L$9*(1+Assumptions!$C$11)/(Assumptions!$C$10-Assumptions!$C$11)*DCF!$L$5</f>
        <v>244.531484561127</v>
      </c>
      <c r="N142" s="30" t="n">
        <f aca="false">(M142+Inputs!$B$13-Inputs!$B$14)/Inputs!$B$9*Inputs!$B$6</f>
        <v>11.1962839847424</v>
      </c>
    </row>
    <row r="143" customFormat="false" ht="15" hidden="false" customHeight="false" outlineLevel="0" collapsed="false">
      <c r="A143" s="20" t="n">
        <v>0.635</v>
      </c>
      <c r="B143" s="33" t="n">
        <f aca="false">'ARR Model'!$B$15</f>
        <v>255.1</v>
      </c>
      <c r="C143" s="34" t="n">
        <f aca="false">B143*$A143+'ARR Model'!C$13</f>
        <v>186.3195</v>
      </c>
      <c r="D143" s="34" t="n">
        <f aca="false">C143*$A143+'ARR Model'!D$13</f>
        <v>142.6438825</v>
      </c>
      <c r="E143" s="34" t="n">
        <f aca="false">D143*$A143+'ARR Model'!E$13</f>
        <v>114.9098653875</v>
      </c>
      <c r="F143" s="34" t="n">
        <f aca="false">E143*$A143+'ARR Model'!F$13</f>
        <v>97.2987645210625</v>
      </c>
      <c r="G143" s="34" t="n">
        <f aca="false">F143*$A143+'ARR Model'!G$13</f>
        <v>86.1157154708747</v>
      </c>
      <c r="H143" s="34" t="n">
        <f aca="false">G143*$A143+'ARR Model'!H$13</f>
        <v>79.0144793240054</v>
      </c>
      <c r="I143" s="34" t="n">
        <f aca="false">H143*$A143+'ARR Model'!I$13</f>
        <v>74.5051943707435</v>
      </c>
      <c r="J143" s="34" t="n">
        <f aca="false">I143*$A143+'ARR Model'!J$13</f>
        <v>71.6417984254221</v>
      </c>
      <c r="K143" s="34" t="n">
        <f aca="false">J143*$A143+'ARR Model'!K$13</f>
        <v>69.823542000143</v>
      </c>
      <c r="L143" s="34" t="n">
        <f aca="false">K143*$A143+'ARR Model'!L$13</f>
        <v>68.6689491700908</v>
      </c>
      <c r="M143" s="34" t="n">
        <f aca="false">SUMPRODUCT((B143:K143+C143:L143)/2*Inputs!$B$44,'ARR Model'!$C$9:$L$9,DCF!$C$5:$L$5)+AVERAGE(K143,L143)*Inputs!$B$44*'ARR Model'!$L$9*(1+Assumptions!$C$11)/(Assumptions!$C$10-Assumptions!$C$11)*DCF!$L$5</f>
        <v>241.335625491356</v>
      </c>
      <c r="N143" s="30" t="n">
        <f aca="false">(M143+Inputs!$B$13-Inputs!$B$14)/Inputs!$B$9*Inputs!$B$6</f>
        <v>11.0171497122633</v>
      </c>
    </row>
    <row r="144" customFormat="false" ht="15" hidden="false" customHeight="false" outlineLevel="0" collapsed="false">
      <c r="A144" s="20" t="n">
        <v>0.63</v>
      </c>
      <c r="B144" s="33" t="n">
        <f aca="false">'ARR Model'!$B$15</f>
        <v>255.1</v>
      </c>
      <c r="C144" s="34" t="n">
        <f aca="false">B144*$A144+'ARR Model'!C$13</f>
        <v>185.044</v>
      </c>
      <c r="D144" s="34" t="n">
        <f aca="false">C144*$A144+'ARR Model'!D$13</f>
        <v>140.90872</v>
      </c>
      <c r="E144" s="34" t="n">
        <f aca="false">D144*$A144+'ARR Model'!E$13</f>
        <v>113.1034936</v>
      </c>
      <c r="F144" s="34" t="n">
        <f aca="false">E144*$A144+'ARR Model'!F$13</f>
        <v>95.586200968</v>
      </c>
      <c r="G144" s="34" t="n">
        <f aca="false">F144*$A144+'ARR Model'!G$13</f>
        <v>84.55030660984</v>
      </c>
      <c r="H144" s="34" t="n">
        <f aca="false">G144*$A144+'ARR Model'!H$13</f>
        <v>77.5976931641992</v>
      </c>
      <c r="I144" s="34" t="n">
        <f aca="false">H144*$A144+'ARR Model'!I$13</f>
        <v>73.2175466934455</v>
      </c>
      <c r="J144" s="34" t="n">
        <f aca="false">I144*$A144+'ARR Model'!J$13</f>
        <v>70.4580544168707</v>
      </c>
      <c r="K144" s="34" t="n">
        <f aca="false">J144*$A144+'ARR Model'!K$13</f>
        <v>68.7195742826285</v>
      </c>
      <c r="L144" s="34" t="n">
        <f aca="false">K144*$A144+'ARR Model'!L$13</f>
        <v>67.624331798056</v>
      </c>
      <c r="M144" s="34" t="n">
        <f aca="false">SUMPRODUCT((B144:K144+C144:L144)/2*Inputs!$B$44,'ARR Model'!$C$9:$L$9,DCF!$C$5:$L$5)+AVERAGE(K144,L144)*Inputs!$B$44*'ARR Model'!$L$9*(1+Assumptions!$C$11)/(Assumptions!$C$10-Assumptions!$C$11)*DCF!$L$5</f>
        <v>238.21592282018</v>
      </c>
      <c r="N144" s="30" t="n">
        <f aca="false">(M144+Inputs!$B$13-Inputs!$B$14)/Inputs!$B$9*Inputs!$B$6</f>
        <v>10.8422841577594</v>
      </c>
    </row>
    <row r="145" customFormat="false" ht="15" hidden="false" customHeight="false" outlineLevel="0" collapsed="false">
      <c r="A145" s="20" t="n">
        <v>0.625</v>
      </c>
      <c r="B145" s="33" t="n">
        <f aca="false">'ARR Model'!$B$15</f>
        <v>255.1</v>
      </c>
      <c r="C145" s="34" t="n">
        <f aca="false">B145*$A145+'ARR Model'!C$13</f>
        <v>183.7685</v>
      </c>
      <c r="D145" s="34" t="n">
        <f aca="false">C145*$A145+'ARR Model'!D$13</f>
        <v>139.1863125</v>
      </c>
      <c r="E145" s="34" t="n">
        <f aca="false">D145*$A145+'ARR Model'!E$13</f>
        <v>111.3224453125</v>
      </c>
      <c r="F145" s="34" t="n">
        <f aca="false">E145*$A145+'ARR Model'!F$13</f>
        <v>93.9075283203125</v>
      </c>
      <c r="G145" s="34" t="n">
        <f aca="false">F145*$A145+'ARR Model'!G$13</f>
        <v>83.0232052001953</v>
      </c>
      <c r="H145" s="34" t="n">
        <f aca="false">G145*$A145+'ARR Model'!H$13</f>
        <v>76.2205032501221</v>
      </c>
      <c r="I145" s="34" t="n">
        <f aca="false">H145*$A145+'ARR Model'!I$13</f>
        <v>71.9688145313263</v>
      </c>
      <c r="J145" s="34" t="n">
        <f aca="false">I145*$A145+'ARR Model'!J$13</f>
        <v>69.3115090820789</v>
      </c>
      <c r="K145" s="34" t="n">
        <f aca="false">J145*$A145+'ARR Model'!K$13</f>
        <v>67.6506931762993</v>
      </c>
      <c r="L145" s="34" t="n">
        <f aca="false">K145*$A145+'ARR Model'!L$13</f>
        <v>66.6126832351871</v>
      </c>
      <c r="M145" s="34" t="n">
        <f aca="false">SUMPRODUCT((B145:K145+C145:L145)/2*Inputs!$B$44,'ARR Model'!$C$9:$L$9,DCF!$C$5:$L$5)+AVERAGE(K145,L145)*Inputs!$B$44*'ARR Model'!$L$9*(1+Assumptions!$C$11)/(Assumptions!$C$10-Assumptions!$C$11)*DCF!$L$5</f>
        <v>235.169829996664</v>
      </c>
      <c r="N145" s="30" t="n">
        <f aca="false">(M145+Inputs!$B$13-Inputs!$B$14)/Inputs!$B$9*Inputs!$B$6</f>
        <v>10.6715445819735</v>
      </c>
    </row>
    <row r="146" customFormat="false" ht="15" hidden="false" customHeight="false" outlineLevel="0" collapsed="false">
      <c r="A146" s="20" t="n">
        <v>0.62</v>
      </c>
      <c r="B146" s="33" t="n">
        <f aca="false">'ARR Model'!$B$15</f>
        <v>255.1</v>
      </c>
      <c r="C146" s="34" t="n">
        <f aca="false">B146*$A146+'ARR Model'!C$13</f>
        <v>182.493</v>
      </c>
      <c r="D146" s="34" t="n">
        <f aca="false">C146*$A146+'ARR Model'!D$13</f>
        <v>137.47666</v>
      </c>
      <c r="E146" s="34" t="n">
        <f aca="false">D146*$A146+'ARR Model'!E$13</f>
        <v>109.5665292</v>
      </c>
      <c r="F146" s="34" t="n">
        <f aca="false">E146*$A146+'ARR Model'!F$13</f>
        <v>92.262248104</v>
      </c>
      <c r="G146" s="34" t="n">
        <f aca="false">F146*$A146+'ARR Model'!G$13</f>
        <v>81.53359382448</v>
      </c>
      <c r="H146" s="34" t="n">
        <f aca="false">G146*$A146+'ARR Model'!H$13</f>
        <v>74.8818281711776</v>
      </c>
      <c r="I146" s="34" t="n">
        <f aca="false">H146*$A146+'ARR Model'!I$13</f>
        <v>70.7577334661301</v>
      </c>
      <c r="J146" s="34" t="n">
        <f aca="false">I146*$A146+'ARR Model'!J$13</f>
        <v>68.2007947490007</v>
      </c>
      <c r="K146" s="34" t="n">
        <f aca="false">J146*$A146+'ARR Model'!K$13</f>
        <v>66.6154927443804</v>
      </c>
      <c r="L146" s="34" t="n">
        <f aca="false">K146*$A146+'ARR Model'!L$13</f>
        <v>65.6326055015159</v>
      </c>
      <c r="M146" s="34" t="n">
        <f aca="false">SUMPRODUCT((B146:K146+C146:L146)/2*Inputs!$B$44,'ARR Model'!$C$9:$L$9,DCF!$C$5:$L$5)+AVERAGE(K146,L146)*Inputs!$B$44*'ARR Model'!$L$9*(1+Assumptions!$C$11)/(Assumptions!$C$10-Assumptions!$C$11)*DCF!$L$5</f>
        <v>232.194895865787</v>
      </c>
      <c r="N146" s="30" t="n">
        <f aca="false">(M146+Inputs!$B$13-Inputs!$B$14)/Inputs!$B$9*Inputs!$B$6</f>
        <v>10.5047935927798</v>
      </c>
    </row>
    <row r="147" customFormat="false" ht="15" hidden="false" customHeight="false" outlineLevel="0" collapsed="false">
      <c r="A147" s="20" t="n">
        <v>0.615</v>
      </c>
      <c r="B147" s="33" t="n">
        <f aca="false">'ARR Model'!$B$15</f>
        <v>255.1</v>
      </c>
      <c r="C147" s="34" t="n">
        <f aca="false">B147*$A147+'ARR Model'!C$13</f>
        <v>181.2175</v>
      </c>
      <c r="D147" s="34" t="n">
        <f aca="false">C147*$A147+'ARR Model'!D$13</f>
        <v>135.7797625</v>
      </c>
      <c r="E147" s="34" t="n">
        <f aca="false">D147*$A147+'ARR Model'!E$13</f>
        <v>107.8355539375</v>
      </c>
      <c r="F147" s="34" t="n">
        <f aca="false">E147*$A147+'ARR Model'!F$13</f>
        <v>90.6498656715625</v>
      </c>
      <c r="G147" s="34" t="n">
        <f aca="false">F147*$A147+'ARR Model'!G$13</f>
        <v>80.0806673880109</v>
      </c>
      <c r="H147" s="34" t="n">
        <f aca="false">G147*$A147+'ARR Model'!H$13</f>
        <v>73.5806104436267</v>
      </c>
      <c r="I147" s="34" t="n">
        <f aca="false">H147*$A147+'ARR Model'!I$13</f>
        <v>69.5830754228305</v>
      </c>
      <c r="J147" s="34" t="n">
        <f aca="false">I147*$A147+'ARR Model'!J$13</f>
        <v>67.1245913850407</v>
      </c>
      <c r="K147" s="34" t="n">
        <f aca="false">J147*$A147+'ARR Model'!K$13</f>
        <v>65.6126237018001</v>
      </c>
      <c r="L147" s="34" t="n">
        <f aca="false">K147*$A147+'ARR Model'!L$13</f>
        <v>64.682763576607</v>
      </c>
      <c r="M147" s="34" t="n">
        <f aca="false">SUMPRODUCT((B147:K147+C147:L147)/2*Inputs!$B$44,'ARR Model'!$C$9:$L$9,DCF!$C$5:$L$5)+AVERAGE(K147,L147)*Inputs!$B$44*'ARR Model'!$L$9*(1+Assumptions!$C$11)/(Assumptions!$C$10-Assumptions!$C$11)*DCF!$L$5</f>
        <v>229.288761195251</v>
      </c>
      <c r="N147" s="30" t="n">
        <f aca="false">(M147+Inputs!$B$13-Inputs!$B$14)/Inputs!$B$9*Inputs!$B$6</f>
        <v>10.3418989505045</v>
      </c>
    </row>
    <row r="148" customFormat="false" ht="15" hidden="false" customHeight="false" outlineLevel="0" collapsed="false">
      <c r="A148" s="20" t="n">
        <v>0.61</v>
      </c>
      <c r="B148" s="33" t="n">
        <f aca="false">'ARR Model'!$B$15</f>
        <v>255.1</v>
      </c>
      <c r="C148" s="34" t="n">
        <f aca="false">B148*$A148+'ARR Model'!C$13</f>
        <v>179.942</v>
      </c>
      <c r="D148" s="34" t="n">
        <f aca="false">C148*$A148+'ARR Model'!D$13</f>
        <v>134.09562</v>
      </c>
      <c r="E148" s="34" t="n">
        <f aca="false">D148*$A148+'ARR Model'!E$13</f>
        <v>106.1293282</v>
      </c>
      <c r="F148" s="34" t="n">
        <f aca="false">E148*$A148+'ARR Model'!F$13</f>
        <v>89.069890202</v>
      </c>
      <c r="G148" s="34" t="n">
        <f aca="false">F148*$A148+'ARR Model'!G$13</f>
        <v>78.66363302322</v>
      </c>
      <c r="H148" s="34" t="n">
        <f aca="false">G148*$A148+'ARR Model'!H$13</f>
        <v>72.3158161441642</v>
      </c>
      <c r="I148" s="34" t="n">
        <f aca="false">H148*$A148+'ARR Model'!I$13</f>
        <v>68.4436478479402</v>
      </c>
      <c r="J148" s="34" t="n">
        <f aca="false">I148*$A148+'ARR Model'!J$13</f>
        <v>66.0816251872435</v>
      </c>
      <c r="K148" s="34" t="n">
        <f aca="false">J148*$A148+'ARR Model'!K$13</f>
        <v>64.6407913642185</v>
      </c>
      <c r="L148" s="34" t="n">
        <f aca="false">K148*$A148+'ARR Model'!L$13</f>
        <v>63.7618827321733</v>
      </c>
      <c r="M148" s="34" t="n">
        <f aca="false">SUMPRODUCT((B148:K148+C148:L148)/2*Inputs!$B$44,'ARR Model'!$C$9:$L$9,DCF!$C$5:$L$5)+AVERAGE(K148,L148)*Inputs!$B$44*'ARR Model'!$L$9*(1+Assumptions!$C$11)/(Assumptions!$C$10-Assumptions!$C$11)*DCF!$L$5</f>
        <v>226.44915531465</v>
      </c>
      <c r="N148" s="30" t="n">
        <f aca="false">(M148+Inputs!$B$13-Inputs!$B$14)/Inputs!$B$9*Inputs!$B$6</f>
        <v>10.1827333795442</v>
      </c>
    </row>
    <row r="149" customFormat="false" ht="15" hidden="false" customHeight="false" outlineLevel="0" collapsed="false">
      <c r="A149" s="20" t="n">
        <v>0.605</v>
      </c>
      <c r="B149" s="33" t="n">
        <f aca="false">'ARR Model'!$B$15</f>
        <v>255.1</v>
      </c>
      <c r="C149" s="34" t="n">
        <f aca="false">B149*$A149+'ARR Model'!C$13</f>
        <v>178.6665</v>
      </c>
      <c r="D149" s="34" t="n">
        <f aca="false">C149*$A149+'ARR Model'!D$13</f>
        <v>132.4242325</v>
      </c>
      <c r="E149" s="34" t="n">
        <f aca="false">D149*$A149+'ARR Model'!E$13</f>
        <v>104.4476606625</v>
      </c>
      <c r="F149" s="34" t="n">
        <f aca="false">E149*$A149+'ARR Model'!F$13</f>
        <v>87.5218347008125</v>
      </c>
      <c r="G149" s="34" t="n">
        <f aca="false">F149*$A149+'ARR Model'!G$13</f>
        <v>77.2817099939916</v>
      </c>
      <c r="H149" s="34" t="n">
        <f aca="false">G149*$A149+'ARR Model'!H$13</f>
        <v>71.0864345463649</v>
      </c>
      <c r="I149" s="34" t="n">
        <f aca="false">H149*$A149+'ARR Model'!I$13</f>
        <v>67.3382929005508</v>
      </c>
      <c r="J149" s="34" t="n">
        <f aca="false">I149*$A149+'ARR Model'!J$13</f>
        <v>65.0706672048332</v>
      </c>
      <c r="K149" s="34" t="n">
        <f aca="false">J149*$A149+'ARR Model'!K$13</f>
        <v>63.6987536589241</v>
      </c>
      <c r="L149" s="34" t="n">
        <f aca="false">K149*$A149+'ARR Model'!L$13</f>
        <v>62.8687459636491</v>
      </c>
      <c r="M149" s="34" t="n">
        <f aca="false">SUMPRODUCT((B149:K149+C149:L149)/2*Inputs!$B$44,'ARR Model'!$C$9:$L$9,DCF!$C$5:$L$5)+AVERAGE(K149,L149)*Inputs!$B$44*'ARR Model'!$L$9*(1+Assumptions!$C$11)/(Assumptions!$C$10-Assumptions!$C$11)*DCF!$L$5</f>
        <v>223.673892863998</v>
      </c>
      <c r="N149" s="30" t="n">
        <f aca="false">(M149+Inputs!$B$13-Inputs!$B$14)/Inputs!$B$9*Inputs!$B$6</f>
        <v>10.0271743861148</v>
      </c>
    </row>
    <row r="150" customFormat="false" ht="15" hidden="false" customHeight="false" outlineLevel="0" collapsed="false">
      <c r="A150" s="20" t="n">
        <v>0.6</v>
      </c>
      <c r="B150" s="33" t="n">
        <f aca="false">'ARR Model'!$B$15</f>
        <v>255.1</v>
      </c>
      <c r="C150" s="34" t="n">
        <f aca="false">B150*$A150+'ARR Model'!C$13</f>
        <v>177.391</v>
      </c>
      <c r="D150" s="34" t="n">
        <f aca="false">C150*$A150+'ARR Model'!D$13</f>
        <v>130.7656</v>
      </c>
      <c r="E150" s="34" t="n">
        <f aca="false">D150*$A150+'ARR Model'!E$13</f>
        <v>102.79036</v>
      </c>
      <c r="F150" s="34" t="n">
        <f aca="false">E150*$A150+'ARR Model'!F$13</f>
        <v>86.005216</v>
      </c>
      <c r="G150" s="34" t="n">
        <f aca="false">F150*$A150+'ARR Model'!G$13</f>
        <v>75.9341296</v>
      </c>
      <c r="H150" s="34" t="n">
        <f aca="false">G150*$A150+'ARR Model'!H$13</f>
        <v>69.89147776</v>
      </c>
      <c r="I150" s="34" t="n">
        <f aca="false">H150*$A150+'ARR Model'!I$13</f>
        <v>66.265886656</v>
      </c>
      <c r="J150" s="34" t="n">
        <f aca="false">I150*$A150+'ARR Model'!J$13</f>
        <v>64.0905319936</v>
      </c>
      <c r="K150" s="34" t="n">
        <f aca="false">J150*$A150+'ARR Model'!K$13</f>
        <v>62.78531919616</v>
      </c>
      <c r="L150" s="34" t="n">
        <f aca="false">K150*$A150+'ARR Model'!L$13</f>
        <v>62.002191517696</v>
      </c>
      <c r="M150" s="34" t="n">
        <f aca="false">SUMPRODUCT((B150:K150+C150:L150)/2*Inputs!$B$44,'ARR Model'!$C$9:$L$9,DCF!$C$5:$L$5)+AVERAGE(K150,L150)*Inputs!$B$44*'ARR Model'!$L$9*(1+Assumptions!$C$11)/(Assumptions!$C$10-Assumptions!$C$11)*DCF!$L$5</f>
        <v>220.960870648667</v>
      </c>
      <c r="N150" s="30" t="n">
        <f aca="false">(M150+Inputs!$B$13-Inputs!$B$14)/Inputs!$B$9*Inputs!$B$6</f>
        <v>9.87510408196406</v>
      </c>
    </row>
    <row r="151" customFormat="false" ht="15" hidden="false" customHeight="false" outlineLevel="0" collapsed="false">
      <c r="A151" s="20" t="n">
        <v>0.595</v>
      </c>
      <c r="B151" s="33" t="n">
        <f aca="false">'ARR Model'!$B$15</f>
        <v>255.1</v>
      </c>
      <c r="C151" s="34" t="n">
        <f aca="false">B151*$A151+'ARR Model'!C$13</f>
        <v>176.1155</v>
      </c>
      <c r="D151" s="34" t="n">
        <f aca="false">C151*$A151+'ARR Model'!D$13</f>
        <v>129.1197225</v>
      </c>
      <c r="E151" s="34" t="n">
        <f aca="false">D151*$A151+'ARR Model'!E$13</f>
        <v>101.1572348875</v>
      </c>
      <c r="F151" s="34" t="n">
        <f aca="false">E151*$A151+'ARR Model'!F$13</f>
        <v>84.5195547580625</v>
      </c>
      <c r="G151" s="34" t="n">
        <f aca="false">F151*$A151+'ARR Model'!G$13</f>
        <v>74.6201350810472</v>
      </c>
      <c r="H151" s="34" t="n">
        <f aca="false">G151*$A151+'ARR Model'!H$13</f>
        <v>68.7299803732231</v>
      </c>
      <c r="I151" s="34" t="n">
        <f aca="false">H151*$A151+'ARR Model'!I$13</f>
        <v>65.2253383220677</v>
      </c>
      <c r="J151" s="34" t="n">
        <f aca="false">I151*$A151+'ARR Model'!J$13</f>
        <v>63.1400763016303</v>
      </c>
      <c r="K151" s="34" t="n">
        <f aca="false">J151*$A151+'ARR Model'!K$13</f>
        <v>61.89934539947</v>
      </c>
      <c r="L151" s="34" t="n">
        <f aca="false">K151*$A151+'ARR Model'!L$13</f>
        <v>61.1611105126847</v>
      </c>
      <c r="M151" s="34" t="n">
        <f aca="false">SUMPRODUCT((B151:K151+C151:L151)/2*Inputs!$B$44,'ARR Model'!$C$9:$L$9,DCF!$C$5:$L$5)+AVERAGE(K151,L151)*Inputs!$B$44*'ARR Model'!$L$9*(1+Assumptions!$C$11)/(Assumptions!$C$10-Assumptions!$C$11)*DCF!$L$5</f>
        <v>218.308064597843</v>
      </c>
      <c r="N151" s="30" t="n">
        <f aca="false">(M151+Inputs!$B$13-Inputs!$B$14)/Inputs!$B$9*Inputs!$B$6</f>
        <v>9.72640901388759</v>
      </c>
    </row>
    <row r="152" customFormat="false" ht="15" hidden="false" customHeight="false" outlineLevel="0" collapsed="false">
      <c r="A152" s="20" t="n">
        <v>0.59</v>
      </c>
      <c r="B152" s="33" t="n">
        <f aca="false">'ARR Model'!$B$15</f>
        <v>255.1</v>
      </c>
      <c r="C152" s="34" t="n">
        <f aca="false">B152*$A152+'ARR Model'!C$13</f>
        <v>174.84</v>
      </c>
      <c r="D152" s="34" t="n">
        <f aca="false">C152*$A152+'ARR Model'!D$13</f>
        <v>127.4866</v>
      </c>
      <c r="E152" s="34" t="n">
        <f aca="false">D152*$A152+'ARR Model'!E$13</f>
        <v>99.548094</v>
      </c>
      <c r="F152" s="34" t="n">
        <f aca="false">E152*$A152+'ARR Model'!F$13</f>
        <v>83.06437546</v>
      </c>
      <c r="G152" s="34" t="n">
        <f aca="false">F152*$A152+'ARR Model'!G$13</f>
        <v>73.3389815214</v>
      </c>
      <c r="H152" s="34" t="n">
        <f aca="false">G152*$A152+'ARR Model'!H$13</f>
        <v>67.600999097626</v>
      </c>
      <c r="I152" s="34" t="n">
        <f aca="false">H152*$A152+'ARR Model'!I$13</f>
        <v>64.2155894675993</v>
      </c>
      <c r="J152" s="34" t="n">
        <f aca="false">I152*$A152+'ARR Model'!J$13</f>
        <v>62.2181977858836</v>
      </c>
      <c r="K152" s="34" t="n">
        <f aca="false">J152*$A152+'ARR Model'!K$13</f>
        <v>61.0397366936713</v>
      </c>
      <c r="L152" s="34" t="n">
        <f aca="false">K152*$A152+'ARR Model'!L$13</f>
        <v>60.3444446492661</v>
      </c>
      <c r="M152" s="34" t="n">
        <f aca="false">SUMPRODUCT((B152:K152+C152:L152)/2*Inputs!$B$44,'ARR Model'!$C$9:$L$9,DCF!$C$5:$L$5)+AVERAGE(K152,L152)*Inputs!$B$44*'ARR Model'!$L$9*(1+Assumptions!$C$11)/(Assumptions!$C$10-Assumptions!$C$11)*DCF!$L$5</f>
        <v>215.713526823694</v>
      </c>
      <c r="N152" s="30" t="n">
        <f aca="false">(M152+Inputs!$B$13-Inputs!$B$14)/Inputs!$B$9*Inputs!$B$6</f>
        <v>9.58097999888885</v>
      </c>
    </row>
    <row r="153" customFormat="false" ht="15" hidden="false" customHeight="false" outlineLevel="0" collapsed="false">
      <c r="A153" s="20" t="n">
        <v>0.585</v>
      </c>
      <c r="B153" s="33" t="n">
        <f aca="false">'ARR Model'!$B$15</f>
        <v>255.1</v>
      </c>
      <c r="C153" s="34" t="n">
        <f aca="false">B153*$A153+'ARR Model'!C$13</f>
        <v>173.5645</v>
      </c>
      <c r="D153" s="34" t="n">
        <f aca="false">C153*$A153+'ARR Model'!D$13</f>
        <v>125.8662325</v>
      </c>
      <c r="E153" s="34" t="n">
        <f aca="false">D153*$A153+'ARR Model'!E$13</f>
        <v>97.9627460125</v>
      </c>
      <c r="F153" s="34" t="n">
        <f aca="false">E153*$A153+'ARR Model'!F$13</f>
        <v>81.6392064173125</v>
      </c>
      <c r="G153" s="34" t="n">
        <f aca="false">F153*$A153+'ARR Model'!G$13</f>
        <v>72.0899357541278</v>
      </c>
      <c r="H153" s="34" t="n">
        <f aca="false">G153*$A153+'ARR Model'!H$13</f>
        <v>66.5036124161648</v>
      </c>
      <c r="I153" s="34" t="n">
        <f aca="false">H153*$A153+'ARR Model'!I$13</f>
        <v>63.2356132634564</v>
      </c>
      <c r="J153" s="34" t="n">
        <f aca="false">I153*$A153+'ARR Model'!J$13</f>
        <v>61.323833759122</v>
      </c>
      <c r="K153" s="34" t="n">
        <f aca="false">J153*$A153+'ARR Model'!K$13</f>
        <v>60.2054427490864</v>
      </c>
      <c r="L153" s="34" t="n">
        <f aca="false">K153*$A153+'ARR Model'!L$13</f>
        <v>59.5511840082155</v>
      </c>
      <c r="M153" s="34" t="n">
        <f aca="false">SUMPRODUCT((B153:K153+C153:L153)/2*Inputs!$B$44,'ARR Model'!$C$9:$L$9,DCF!$C$5:$L$5)+AVERAGE(K153,L153)*Inputs!$B$44*'ARR Model'!$L$9*(1+Assumptions!$C$11)/(Assumptions!$C$10-Assumptions!$C$11)*DCF!$L$5</f>
        <v>213.175382778467</v>
      </c>
      <c r="N153" s="30" t="n">
        <f aca="false">(M153+Inputs!$B$13-Inputs!$B$14)/Inputs!$B$9*Inputs!$B$6</f>
        <v>9.43871196482895</v>
      </c>
    </row>
    <row r="154" customFormat="false" ht="15" hidden="false" customHeight="false" outlineLevel="0" collapsed="false">
      <c r="A154" s="20" t="n">
        <v>0.58</v>
      </c>
      <c r="B154" s="33" t="n">
        <f aca="false">'ARR Model'!$B$15</f>
        <v>255.1</v>
      </c>
      <c r="C154" s="34" t="n">
        <f aca="false">B154*$A154+'ARR Model'!C$13</f>
        <v>172.289</v>
      </c>
      <c r="D154" s="34" t="n">
        <f aca="false">C154*$A154+'ARR Model'!D$13</f>
        <v>124.25862</v>
      </c>
      <c r="E154" s="34" t="n">
        <f aca="false">D154*$A154+'ARR Model'!E$13</f>
        <v>96.4009996</v>
      </c>
      <c r="F154" s="34" t="n">
        <f aca="false">E154*$A154+'ARR Model'!F$13</f>
        <v>80.243579768</v>
      </c>
      <c r="G154" s="34" t="n">
        <f aca="false">F154*$A154+'ARR Model'!G$13</f>
        <v>70.87227626544</v>
      </c>
      <c r="H154" s="34" t="n">
        <f aca="false">G154*$A154+'ARR Model'!H$13</f>
        <v>65.4369202339552</v>
      </c>
      <c r="I154" s="34" t="n">
        <f aca="false">H154*$A154+'ARR Model'!I$13</f>
        <v>62.284413735694</v>
      </c>
      <c r="J154" s="34" t="n">
        <f aca="false">I154*$A154+'ARR Model'!J$13</f>
        <v>60.4559599667025</v>
      </c>
      <c r="K154" s="34" t="n">
        <f aca="false">J154*$A154+'ARR Model'!K$13</f>
        <v>59.3954567806875</v>
      </c>
      <c r="L154" s="34" t="n">
        <f aca="false">K154*$A154+'ARR Model'!L$13</f>
        <v>58.7803649327987</v>
      </c>
      <c r="M154" s="34" t="n">
        <f aca="false">SUMPRODUCT((B154:K154+C154:L154)/2*Inputs!$B$44,'ARR Model'!$C$9:$L$9,DCF!$C$5:$L$5)+AVERAGE(K154,L154)*Inputs!$B$44*'ARR Model'!$L$9*(1+Assumptions!$C$11)/(Assumptions!$C$10-Assumptions!$C$11)*DCF!$L$5</f>
        <v>210.691828506812</v>
      </c>
      <c r="N154" s="30" t="n">
        <f aca="false">(M154+Inputs!$B$13-Inputs!$B$14)/Inputs!$B$9*Inputs!$B$6</f>
        <v>9.29950379641396</v>
      </c>
    </row>
    <row r="155" customFormat="false" ht="15" hidden="false" customHeight="false" outlineLevel="0" collapsed="false">
      <c r="A155" s="20" t="n">
        <v>0.575</v>
      </c>
      <c r="B155" s="33" t="n">
        <f aca="false">'ARR Model'!$B$15</f>
        <v>255.1</v>
      </c>
      <c r="C155" s="34" t="n">
        <f aca="false">B155*$A155+'ARR Model'!C$13</f>
        <v>171.0135</v>
      </c>
      <c r="D155" s="34" t="n">
        <f aca="false">C155*$A155+'ARR Model'!D$13</f>
        <v>122.6637625</v>
      </c>
      <c r="E155" s="34" t="n">
        <f aca="false">D155*$A155+'ARR Model'!E$13</f>
        <v>94.8626634375</v>
      </c>
      <c r="F155" s="34" t="n">
        <f aca="false">E155*$A155+'ARR Model'!F$13</f>
        <v>78.8770314765625</v>
      </c>
      <c r="G155" s="34" t="n">
        <f aca="false">F155*$A155+'ARR Model'!G$13</f>
        <v>69.6852930990234</v>
      </c>
      <c r="H155" s="34" t="n">
        <f aca="false">G155*$A155+'ARR Model'!H$13</f>
        <v>64.4000435319385</v>
      </c>
      <c r="I155" s="34" t="n">
        <f aca="false">H155*$A155+'ARR Model'!I$13</f>
        <v>61.3610250308646</v>
      </c>
      <c r="J155" s="34" t="n">
        <f aca="false">I155*$A155+'ARR Model'!J$13</f>
        <v>59.6135893927472</v>
      </c>
      <c r="K155" s="34" t="n">
        <f aca="false">J155*$A155+'ARR Model'!K$13</f>
        <v>58.6088139008296</v>
      </c>
      <c r="L155" s="34" t="n">
        <f aca="false">K155*$A155+'ARR Model'!L$13</f>
        <v>58.031067992977</v>
      </c>
      <c r="M155" s="34" t="n">
        <f aca="false">SUMPRODUCT((B155:K155+C155:L155)/2*Inputs!$B$44,'ARR Model'!$C$9:$L$9,DCF!$C$5:$L$5)+AVERAGE(K155,L155)*Inputs!$B$44*'ARR Model'!$L$9*(1+Assumptions!$C$11)/(Assumptions!$C$10-Assumptions!$C$11)*DCF!$L$5</f>
        <v>208.261127990683</v>
      </c>
      <c r="N155" s="30" t="n">
        <f aca="false">(M155+Inputs!$B$13-Inputs!$B$14)/Inputs!$B$9*Inputs!$B$6</f>
        <v>9.16325818637131</v>
      </c>
    </row>
    <row r="156" customFormat="false" ht="15" hidden="false" customHeight="false" outlineLevel="0" collapsed="false">
      <c r="A156" s="20" t="n">
        <v>0.57</v>
      </c>
      <c r="B156" s="33" t="n">
        <f aca="false">'ARR Model'!$B$15</f>
        <v>255.1</v>
      </c>
      <c r="C156" s="34" t="n">
        <f aca="false">B156*$A156+'ARR Model'!C$13</f>
        <v>169.738</v>
      </c>
      <c r="D156" s="34" t="n">
        <f aca="false">C156*$A156+'ARR Model'!D$13</f>
        <v>121.08166</v>
      </c>
      <c r="E156" s="34" t="n">
        <f aca="false">D156*$A156+'ARR Model'!E$13</f>
        <v>93.3475462</v>
      </c>
      <c r="F156" s="34" t="n">
        <f aca="false">E156*$A156+'ARR Model'!F$13</f>
        <v>77.539101334</v>
      </c>
      <c r="G156" s="34" t="n">
        <f aca="false">F156*$A156+'ARR Model'!G$13</f>
        <v>68.52828776038</v>
      </c>
      <c r="H156" s="34" t="n">
        <f aca="false">G156*$A156+'ARR Model'!H$13</f>
        <v>63.3921240234166</v>
      </c>
      <c r="I156" s="34" t="n">
        <f aca="false">H156*$A156+'ARR Model'!I$13</f>
        <v>60.4645106933475</v>
      </c>
      <c r="J156" s="34" t="n">
        <f aca="false">I156*$A156+'ARR Model'!J$13</f>
        <v>58.7957710952081</v>
      </c>
      <c r="K156" s="34" t="n">
        <f aca="false">J156*$A156+'ARR Model'!K$13</f>
        <v>57.8445895242686</v>
      </c>
      <c r="L156" s="34" t="n">
        <f aca="false">K156*$A156+'ARR Model'!L$13</f>
        <v>57.3024160288331</v>
      </c>
      <c r="M156" s="34" t="n">
        <f aca="false">SUMPRODUCT((B156:K156+C156:L156)/2*Inputs!$B$44,'ARR Model'!$C$9:$L$9,DCF!$C$5:$L$5)+AVERAGE(K156,L156)*Inputs!$B$44*'ARR Model'!$L$9*(1+Assumptions!$C$11)/(Assumptions!$C$10-Assumptions!$C$11)*DCF!$L$5</f>
        <v>205.881610584222</v>
      </c>
      <c r="N156" s="30" t="n">
        <f aca="false">(M156+Inputs!$B$13-Inputs!$B$14)/Inputs!$B$9*Inputs!$B$6</f>
        <v>9.02988149166991</v>
      </c>
    </row>
    <row r="157" customFormat="false" ht="15" hidden="false" customHeight="false" outlineLevel="0" collapsed="false">
      <c r="A157" s="20" t="n">
        <v>0.565</v>
      </c>
      <c r="B157" s="33" t="n">
        <f aca="false">'ARR Model'!$B$15</f>
        <v>255.1</v>
      </c>
      <c r="C157" s="34" t="n">
        <f aca="false">B157*$A157+'ARR Model'!C$13</f>
        <v>168.4625</v>
      </c>
      <c r="D157" s="34" t="n">
        <f aca="false">C157*$A157+'ARR Model'!D$13</f>
        <v>119.5123125</v>
      </c>
      <c r="E157" s="34" t="n">
        <f aca="false">D157*$A157+'ARR Model'!E$13</f>
        <v>91.8554565625</v>
      </c>
      <c r="F157" s="34" t="n">
        <f aca="false">E157*$A157+'ARR Model'!F$13</f>
        <v>76.2293329578125</v>
      </c>
      <c r="G157" s="34" t="n">
        <f aca="false">F157*$A157+'ARR Model'!G$13</f>
        <v>67.4005731211641</v>
      </c>
      <c r="H157" s="34" t="n">
        <f aca="false">G157*$A157+'ARR Model'!H$13</f>
        <v>62.4123238134577</v>
      </c>
      <c r="I157" s="34" t="n">
        <f aca="false">H157*$A157+'ARR Model'!I$13</f>
        <v>59.5939629546036</v>
      </c>
      <c r="J157" s="34" t="n">
        <f aca="false">I157*$A157+'ARR Model'!J$13</f>
        <v>58.001589069351</v>
      </c>
      <c r="K157" s="34" t="n">
        <f aca="false">J157*$A157+'ARR Model'!K$13</f>
        <v>57.1018978241833</v>
      </c>
      <c r="L157" s="34" t="n">
        <f aca="false">K157*$A157+'ARR Model'!L$13</f>
        <v>56.5935722706636</v>
      </c>
      <c r="M157" s="34" t="n">
        <f aca="false">SUMPRODUCT((B157:K157+C157:L157)/2*Inputs!$B$44,'ARR Model'!$C$9:$L$9,DCF!$C$5:$L$5)+AVERAGE(K157,L157)*Inputs!$B$44*'ARR Model'!$L$9*(1+Assumptions!$C$11)/(Assumptions!$C$10-Assumptions!$C$11)*DCF!$L$5</f>
        <v>203.551668536086</v>
      </c>
      <c r="N157" s="30" t="n">
        <f aca="false">(M157+Inputs!$B$13-Inputs!$B$14)/Inputs!$B$9*Inputs!$B$6</f>
        <v>8.89928359464152</v>
      </c>
    </row>
    <row r="158" customFormat="false" ht="15" hidden="false" customHeight="false" outlineLevel="0" collapsed="false">
      <c r="A158" s="20" t="n">
        <v>0.56</v>
      </c>
      <c r="B158" s="33" t="n">
        <f aca="false">'ARR Model'!$B$15</f>
        <v>255.1</v>
      </c>
      <c r="C158" s="34" t="n">
        <f aca="false">B158*$A158+'ARR Model'!C$13</f>
        <v>167.187</v>
      </c>
      <c r="D158" s="34" t="n">
        <f aca="false">C158*$A158+'ARR Model'!D$13</f>
        <v>117.95572</v>
      </c>
      <c r="E158" s="34" t="n">
        <f aca="false">D158*$A158+'ARR Model'!E$13</f>
        <v>90.3862032</v>
      </c>
      <c r="F158" s="34" t="n">
        <f aca="false">E158*$A158+'ARR Model'!F$13</f>
        <v>74.947273792</v>
      </c>
      <c r="G158" s="34" t="n">
        <f aca="false">F158*$A158+'ARR Model'!G$13</f>
        <v>66.30147332352</v>
      </c>
      <c r="H158" s="34" t="n">
        <f aca="false">G158*$A158+'ARR Model'!H$13</f>
        <v>61.4598250611712</v>
      </c>
      <c r="I158" s="34" t="n">
        <f aca="false">H158*$A158+'ARR Model'!I$13</f>
        <v>58.7485020342559</v>
      </c>
      <c r="J158" s="34" t="n">
        <f aca="false">I158*$A158+'ARR Model'!J$13</f>
        <v>57.2301611391833</v>
      </c>
      <c r="K158" s="34" t="n">
        <f aca="false">J158*$A158+'ARR Model'!K$13</f>
        <v>56.3798902379427</v>
      </c>
      <c r="L158" s="34" t="n">
        <f aca="false">K158*$A158+'ARR Model'!L$13</f>
        <v>55.9037385332479</v>
      </c>
      <c r="M158" s="34" t="n">
        <f aca="false">SUMPRODUCT((B158:K158+C158:L158)/2*Inputs!$B$44,'ARR Model'!$C$9:$L$9,DCF!$C$5:$L$5)+AVERAGE(K158,L158)*Inputs!$B$44*'ARR Model'!$L$9*(1+Assumptions!$C$11)/(Assumptions!$C$10-Assumptions!$C$11)*DCF!$L$5</f>
        <v>201.269754596728</v>
      </c>
      <c r="N158" s="30" t="n">
        <f aca="false">(M158+Inputs!$B$13-Inputs!$B$14)/Inputs!$B$9*Inputs!$B$6</f>
        <v>8.77137776886426</v>
      </c>
    </row>
    <row r="159" customFormat="false" ht="15" hidden="false" customHeight="false" outlineLevel="0" collapsed="false">
      <c r="A159" s="20" t="n">
        <v>0.555</v>
      </c>
      <c r="B159" s="33" t="n">
        <f aca="false">'ARR Model'!$B$15</f>
        <v>255.1</v>
      </c>
      <c r="C159" s="34" t="n">
        <f aca="false">B159*$A159+'ARR Model'!C$13</f>
        <v>165.9115</v>
      </c>
      <c r="D159" s="34" t="n">
        <f aca="false">C159*$A159+'ARR Model'!D$13</f>
        <v>116.4118825</v>
      </c>
      <c r="E159" s="34" t="n">
        <f aca="false">D159*$A159+'ARR Model'!E$13</f>
        <v>88.9395947875</v>
      </c>
      <c r="F159" s="34" t="n">
        <f aca="false">E159*$A159+'ARR Model'!F$13</f>
        <v>73.6924751070625</v>
      </c>
      <c r="G159" s="34" t="n">
        <f aca="false">F159*$A159+'ARR Model'!G$13</f>
        <v>65.2303236844197</v>
      </c>
      <c r="H159" s="34" t="n">
        <f aca="false">G159*$A159+'ARR Model'!H$13</f>
        <v>60.5338296448529</v>
      </c>
      <c r="I159" s="34" t="n">
        <f aca="false">H159*$A159+'ARR Model'!I$13</f>
        <v>57.9272754528934</v>
      </c>
      <c r="J159" s="34" t="n">
        <f aca="false">I159*$A159+'ARR Model'!J$13</f>
        <v>56.4806378763558</v>
      </c>
      <c r="K159" s="34" t="n">
        <f aca="false">J159*$A159+'ARR Model'!K$13</f>
        <v>55.6777540213775</v>
      </c>
      <c r="L159" s="34" t="n">
        <f aca="false">K159*$A159+'ARR Model'!L$13</f>
        <v>55.2321534818645</v>
      </c>
      <c r="M159" s="34" t="n">
        <f aca="false">SUMPRODUCT((B159:K159+C159:L159)/2*Inputs!$B$44,'ARR Model'!$C$9:$L$9,DCF!$C$5:$L$5)+AVERAGE(K159,L159)*Inputs!$B$44*'ARR Model'!$L$9*(1+Assumptions!$C$11)/(Assumptions!$C$10-Assumptions!$C$11)*DCF!$L$5</f>
        <v>199.034379708211</v>
      </c>
      <c r="N159" s="30" t="n">
        <f aca="false">(M159+Inputs!$B$13-Inputs!$B$14)/Inputs!$B$9*Inputs!$B$6</f>
        <v>8.64608054967204</v>
      </c>
    </row>
    <row r="160" customFormat="false" ht="15" hidden="false" customHeight="false" outlineLevel="0" collapsed="false">
      <c r="A160" s="20" t="n">
        <v>0.55</v>
      </c>
      <c r="B160" s="33" t="n">
        <f aca="false">'ARR Model'!$B$15</f>
        <v>255.1</v>
      </c>
      <c r="C160" s="34" t="n">
        <f aca="false">B160*$A160+'ARR Model'!C$13</f>
        <v>164.636</v>
      </c>
      <c r="D160" s="34" t="n">
        <f aca="false">C160*$A160+'ARR Model'!D$13</f>
        <v>114.8808</v>
      </c>
      <c r="E160" s="34" t="n">
        <f aca="false">D160*$A160+'ARR Model'!E$13</f>
        <v>87.51544</v>
      </c>
      <c r="F160" s="34" t="n">
        <f aca="false">E160*$A160+'ARR Model'!F$13</f>
        <v>72.464492</v>
      </c>
      <c r="G160" s="34" t="n">
        <f aca="false">F160*$A160+'ARR Model'!G$13</f>
        <v>64.1864706</v>
      </c>
      <c r="H160" s="34" t="n">
        <f aca="false">G160*$A160+'ARR Model'!H$13</f>
        <v>59.63355883</v>
      </c>
      <c r="I160" s="34" t="n">
        <f aca="false">H160*$A160+'ARR Model'!I$13</f>
        <v>57.1294573565</v>
      </c>
      <c r="J160" s="34" t="n">
        <f aca="false">I160*$A160+'ARR Model'!J$13</f>
        <v>55.752201546075</v>
      </c>
      <c r="K160" s="34" t="n">
        <f aca="false">J160*$A160+'ARR Model'!K$13</f>
        <v>54.9947108503413</v>
      </c>
      <c r="L160" s="34" t="n">
        <f aca="false">K160*$A160+'ARR Model'!L$13</f>
        <v>54.5780909676877</v>
      </c>
      <c r="M160" s="34" t="n">
        <f aca="false">SUMPRODUCT((B160:K160+C160:L160)/2*Inputs!$B$44,'ARR Model'!$C$9:$L$9,DCF!$C$5:$L$5)+AVERAGE(K160,L160)*Inputs!$B$44*'ARR Model'!$L$9*(1+Assumptions!$C$11)/(Assumptions!$C$10-Assumptions!$C$11)*DCF!$L$5</f>
        <v>196.844110774173</v>
      </c>
      <c r="N160" s="30" t="n">
        <f aca="false">(M160+Inputs!$B$13-Inputs!$B$14)/Inputs!$B$9*Inputs!$B$6</f>
        <v>8.52331160915662</v>
      </c>
    </row>
    <row r="161" customFormat="false" ht="15" hidden="false" customHeight="false" outlineLevel="0" collapsed="false">
      <c r="A161" s="20" t="n">
        <v>0.545</v>
      </c>
      <c r="B161" s="33" t="n">
        <f aca="false">'ARR Model'!$B$15</f>
        <v>255.1</v>
      </c>
      <c r="C161" s="34" t="n">
        <f aca="false">B161*$A161+'ARR Model'!C$13</f>
        <v>163.3605</v>
      </c>
      <c r="D161" s="34" t="n">
        <f aca="false">C161*$A161+'ARR Model'!D$13</f>
        <v>113.3624725</v>
      </c>
      <c r="E161" s="34" t="n">
        <f aca="false">D161*$A161+'ARR Model'!E$13</f>
        <v>86.1135475125</v>
      </c>
      <c r="F161" s="34" t="n">
        <f aca="false">E161*$A161+'ARR Model'!F$13</f>
        <v>71.2628833943125</v>
      </c>
      <c r="G161" s="34" t="n">
        <f aca="false">F161*$A161+'ARR Model'!G$13</f>
        <v>63.1692714499003</v>
      </c>
      <c r="H161" s="34" t="n">
        <f aca="false">G161*$A161+'ARR Model'!H$13</f>
        <v>58.7582529401957</v>
      </c>
      <c r="I161" s="34" t="n">
        <f aca="false">H161*$A161+'ARR Model'!I$13</f>
        <v>56.3542478524067</v>
      </c>
      <c r="J161" s="34" t="n">
        <f aca="false">I161*$A161+'ARR Model'!J$13</f>
        <v>55.0440650795616</v>
      </c>
      <c r="K161" s="34" t="n">
        <f aca="false">J161*$A161+'ARR Model'!K$13</f>
        <v>54.3300154683611</v>
      </c>
      <c r="L161" s="34" t="n">
        <f aca="false">K161*$A161+'ARR Model'!L$13</f>
        <v>53.9408584302568</v>
      </c>
      <c r="M161" s="34" t="n">
        <f aca="false">SUMPRODUCT((B161:K161+C161:L161)/2*Inputs!$B$44,'ARR Model'!$C$9:$L$9,DCF!$C$5:$L$5)+AVERAGE(K161,L161)*Inputs!$B$44*'ARR Model'!$L$9*(1+Assumptions!$C$11)/(Assumptions!$C$10-Assumptions!$C$11)*DCF!$L$5</f>
        <v>194.697568507618</v>
      </c>
      <c r="N161" s="30" t="n">
        <f aca="false">(M161+Inputs!$B$13-Inputs!$B$14)/Inputs!$B$9*Inputs!$B$6</f>
        <v>8.40299363553196</v>
      </c>
    </row>
    <row r="162" customFormat="false" ht="15" hidden="false" customHeight="false" outlineLevel="0" collapsed="false">
      <c r="A162" s="20" t="n">
        <v>0.54</v>
      </c>
      <c r="B162" s="33" t="n">
        <f aca="false">'ARR Model'!$B$15</f>
        <v>255.1</v>
      </c>
      <c r="C162" s="34" t="n">
        <f aca="false">B162*$A162+'ARR Model'!C$13</f>
        <v>162.085</v>
      </c>
      <c r="D162" s="34" t="n">
        <f aca="false">C162*$A162+'ARR Model'!D$13</f>
        <v>111.8569</v>
      </c>
      <c r="E162" s="34" t="n">
        <f aca="false">D162*$A162+'ARR Model'!E$13</f>
        <v>84.733726</v>
      </c>
      <c r="F162" s="34" t="n">
        <f aca="false">E162*$A162+'ARR Model'!F$13</f>
        <v>70.08721204</v>
      </c>
      <c r="G162" s="34" t="n">
        <f aca="false">F162*$A162+'ARR Model'!G$13</f>
        <v>62.1780945016</v>
      </c>
      <c r="H162" s="34" t="n">
        <f aca="false">G162*$A162+'ARR Model'!H$13</f>
        <v>57.907171030864</v>
      </c>
      <c r="I162" s="34" t="n">
        <f aca="false">H162*$A162+'ARR Model'!I$13</f>
        <v>55.6008723566666</v>
      </c>
      <c r="J162" s="34" t="n">
        <f aca="false">I162*$A162+'ARR Model'!J$13</f>
        <v>54.3554710726</v>
      </c>
      <c r="K162" s="34" t="n">
        <f aca="false">J162*$A162+'ARR Model'!K$13</f>
        <v>53.682954379204</v>
      </c>
      <c r="L162" s="34" t="n">
        <f aca="false">K162*$A162+'ARR Model'!L$13</f>
        <v>53.3197953647702</v>
      </c>
      <c r="M162" s="34" t="n">
        <f aca="false">SUMPRODUCT((B162:K162+C162:L162)/2*Inputs!$B$44,'ARR Model'!$C$9:$L$9,DCF!$C$5:$L$5)+AVERAGE(K162,L162)*Inputs!$B$44*'ARR Model'!$L$9*(1+Assumptions!$C$11)/(Assumptions!$C$10-Assumptions!$C$11)*DCF!$L$5</f>
        <v>192.593425354261</v>
      </c>
      <c r="N162" s="30" t="n">
        <f aca="false">(M162+Inputs!$B$13-Inputs!$B$14)/Inputs!$B$9*Inputs!$B$6</f>
        <v>8.28505221673364</v>
      </c>
    </row>
    <row r="163" customFormat="false" ht="15" hidden="false" customHeight="false" outlineLevel="0" collapsed="false">
      <c r="A163" s="20" t="n">
        <v>0.535</v>
      </c>
      <c r="B163" s="33" t="n">
        <f aca="false">'ARR Model'!$B$15</f>
        <v>255.1</v>
      </c>
      <c r="C163" s="34" t="n">
        <f aca="false">B163*$A163+'ARR Model'!C$13</f>
        <v>160.8095</v>
      </c>
      <c r="D163" s="34" t="n">
        <f aca="false">C163*$A163+'ARR Model'!D$13</f>
        <v>110.3640825</v>
      </c>
      <c r="E163" s="34" t="n">
        <f aca="false">D163*$A163+'ARR Model'!E$13</f>
        <v>83.3757841375</v>
      </c>
      <c r="F163" s="34" t="n">
        <f aca="false">E163*$A163+'ARR Model'!F$13</f>
        <v>68.9370445135625</v>
      </c>
      <c r="G163" s="34" t="n">
        <f aca="false">F163*$A163+'ARR Model'!G$13</f>
        <v>61.2123188147559</v>
      </c>
      <c r="H163" s="34" t="n">
        <f aca="false">G163*$A163+'ARR Model'!H$13</f>
        <v>57.0795905658944</v>
      </c>
      <c r="I163" s="34" t="n">
        <f aca="false">H163*$A163+'ARR Model'!I$13</f>
        <v>54.8685809527535</v>
      </c>
      <c r="J163" s="34" t="n">
        <f aca="false">I163*$A163+'ARR Model'!J$13</f>
        <v>53.6856908097231</v>
      </c>
      <c r="K163" s="34" t="n">
        <f aca="false">J163*$A163+'ARR Model'!K$13</f>
        <v>53.0528445832019</v>
      </c>
      <c r="L163" s="34" t="n">
        <f aca="false">K163*$A163+'ARR Model'!L$13</f>
        <v>52.714271852013</v>
      </c>
      <c r="M163" s="34" t="n">
        <f aca="false">SUMPRODUCT((B163:K163+C163:L163)/2*Inputs!$B$44,'ARR Model'!$C$9:$L$9,DCF!$C$5:$L$5)+AVERAGE(K163,L163)*Inputs!$B$44*'ARR Model'!$L$9*(1+Assumptions!$C$11)/(Assumptions!$C$10-Assumptions!$C$11)*DCF!$L$5</f>
        <v>190.530403489207</v>
      </c>
      <c r="N163" s="30" t="n">
        <f aca="false">(M163+Inputs!$B$13-Inputs!$B$14)/Inputs!$B$9*Inputs!$B$6</f>
        <v>8.16941572812856</v>
      </c>
    </row>
    <row r="164" customFormat="false" ht="15" hidden="false" customHeight="false" outlineLevel="0" collapsed="false">
      <c r="A164" s="20" t="n">
        <v>0.53</v>
      </c>
      <c r="B164" s="33" t="n">
        <f aca="false">'ARR Model'!$B$15</f>
        <v>255.1</v>
      </c>
      <c r="C164" s="34" t="n">
        <f aca="false">B164*$A164+'ARR Model'!C$13</f>
        <v>159.534</v>
      </c>
      <c r="D164" s="34" t="n">
        <f aca="false">C164*$A164+'ARR Model'!D$13</f>
        <v>108.88402</v>
      </c>
      <c r="E164" s="34" t="n">
        <f aca="false">D164*$A164+'ARR Model'!E$13</f>
        <v>82.0395306</v>
      </c>
      <c r="F164" s="34" t="n">
        <f aca="false">E164*$A164+'ARR Model'!F$13</f>
        <v>67.811951218</v>
      </c>
      <c r="G164" s="34" t="n">
        <f aca="false">F164*$A164+'ARR Model'!G$13</f>
        <v>60.27133414554</v>
      </c>
      <c r="H164" s="34" t="n">
        <f aca="false">G164*$A164+'ARR Model'!H$13</f>
        <v>56.2748070971362</v>
      </c>
      <c r="I164" s="34" t="n">
        <f aca="false">H164*$A164+'ARR Model'!I$13</f>
        <v>54.1566477614822</v>
      </c>
      <c r="J164" s="34" t="n">
        <f aca="false">I164*$A164+'ARR Model'!J$13</f>
        <v>53.0340233135856</v>
      </c>
      <c r="K164" s="34" t="n">
        <f aca="false">J164*$A164+'ARR Model'!K$13</f>
        <v>52.4390323562004</v>
      </c>
      <c r="L164" s="34" t="n">
        <f aca="false">K164*$A164+'ARR Model'!L$13</f>
        <v>52.1236871487862</v>
      </c>
      <c r="M164" s="34" t="n">
        <f aca="false">SUMPRODUCT((B164:K164+C164:L164)/2*Inputs!$B$44,'ARR Model'!$C$9:$L$9,DCF!$C$5:$L$5)+AVERAGE(K164,L164)*Inputs!$B$44*'ARR Model'!$L$9*(1+Assumptions!$C$11)/(Assumptions!$C$10-Assumptions!$C$11)*DCF!$L$5</f>
        <v>188.507272884782</v>
      </c>
      <c r="N164" s="30" t="n">
        <f aca="false">(M164+Inputs!$B$13-Inputs!$B$14)/Inputs!$B$9*Inputs!$B$6</f>
        <v>8.05601522421343</v>
      </c>
    </row>
    <row r="165" customFormat="false" ht="15" hidden="false" customHeight="false" outlineLevel="0" collapsed="false">
      <c r="A165" s="20" t="n">
        <v>0.525</v>
      </c>
      <c r="B165" s="33" t="n">
        <f aca="false">'ARR Model'!$B$15</f>
        <v>255.1</v>
      </c>
      <c r="C165" s="34" t="n">
        <f aca="false">B165*$A165+'ARR Model'!C$13</f>
        <v>158.2585</v>
      </c>
      <c r="D165" s="34" t="n">
        <f aca="false">C165*$A165+'ARR Model'!D$13</f>
        <v>107.4167125</v>
      </c>
      <c r="E165" s="34" t="n">
        <f aca="false">D165*$A165+'ARR Model'!E$13</f>
        <v>80.7247740625</v>
      </c>
      <c r="F165" s="34" t="n">
        <f aca="false">E165*$A165+'ARR Model'!F$13</f>
        <v>66.7115063828125</v>
      </c>
      <c r="G165" s="34" t="n">
        <f aca="false">F165*$A165+'ARR Model'!G$13</f>
        <v>59.3545408509766</v>
      </c>
      <c r="H165" s="34" t="n">
        <f aca="false">G165*$A165+'ARR Model'!H$13</f>
        <v>55.4921339467627</v>
      </c>
      <c r="I165" s="34" t="n">
        <f aca="false">H165*$A165+'ARR Model'!I$13</f>
        <v>53.4643703220504</v>
      </c>
      <c r="J165" s="34" t="n">
        <f aca="false">I165*$A165+'ARR Model'!J$13</f>
        <v>52.3997944190765</v>
      </c>
      <c r="K165" s="34" t="n">
        <f aca="false">J165*$A165+'ARR Model'!K$13</f>
        <v>51.8408920700152</v>
      </c>
      <c r="L165" s="34" t="n">
        <f aca="false">K165*$A165+'ARR Model'!L$13</f>
        <v>51.547468336758</v>
      </c>
      <c r="M165" s="34" t="n">
        <f aca="false">SUMPRODUCT((B165:K165+C165:L165)/2*Inputs!$B$44,'ARR Model'!$C$9:$L$9,DCF!$C$5:$L$5)+AVERAGE(K165,L165)*Inputs!$B$44*'ARR Model'!$L$9*(1+Assumptions!$C$11)/(Assumptions!$C$10-Assumptions!$C$11)*DCF!$L$5</f>
        <v>186.522849447415</v>
      </c>
      <c r="N165" s="30" t="n">
        <f aca="false">(M165+Inputs!$B$13-Inputs!$B$14)/Inputs!$B$9*Inputs!$B$6</f>
        <v>7.9447843341828</v>
      </c>
    </row>
    <row r="166" customFormat="false" ht="15" hidden="false" customHeight="false" outlineLevel="0" collapsed="false">
      <c r="A166" s="20" t="n">
        <v>0.52</v>
      </c>
      <c r="B166" s="33" t="n">
        <f aca="false">'ARR Model'!$B$15</f>
        <v>255.1</v>
      </c>
      <c r="C166" s="34" t="n">
        <f aca="false">B166*$A166+'ARR Model'!C$13</f>
        <v>156.983</v>
      </c>
      <c r="D166" s="34" t="n">
        <f aca="false">C166*$A166+'ARR Model'!D$13</f>
        <v>105.96216</v>
      </c>
      <c r="E166" s="34" t="n">
        <f aca="false">D166*$A166+'ARR Model'!E$13</f>
        <v>79.4313232</v>
      </c>
      <c r="F166" s="34" t="n">
        <f aca="false">E166*$A166+'ARR Model'!F$13</f>
        <v>65.635288064</v>
      </c>
      <c r="G166" s="34" t="n">
        <f aca="false">F166*$A166+'ARR Model'!G$13</f>
        <v>58.46134979328</v>
      </c>
      <c r="H166" s="34" t="n">
        <f aca="false">G166*$A166+'ARR Model'!H$13</f>
        <v>54.7309018925056</v>
      </c>
      <c r="I166" s="34" t="n">
        <f aca="false">H166*$A166+'ARR Model'!I$13</f>
        <v>52.7910689841029</v>
      </c>
      <c r="J166" s="34" t="n">
        <f aca="false">I166*$A166+'ARR Model'!J$13</f>
        <v>51.7823558717335</v>
      </c>
      <c r="K166" s="34" t="n">
        <f aca="false">J166*$A166+'ARR Model'!K$13</f>
        <v>51.2578250533014</v>
      </c>
      <c r="L166" s="34" t="n">
        <f aca="false">K166*$A166+'ARR Model'!L$13</f>
        <v>50.9850690277168</v>
      </c>
      <c r="M166" s="34" t="n">
        <f aca="false">SUMPRODUCT((B166:K166+C166:L166)/2*Inputs!$B$44,'ARR Model'!$C$9:$L$9,DCF!$C$5:$L$5)+AVERAGE(K166,L166)*Inputs!$B$44*'ARR Model'!$L$9*(1+Assumptions!$C$11)/(Assumptions!$C$10-Assumptions!$C$11)*DCF!$L$5</f>
        <v>184.575993221471</v>
      </c>
      <c r="N166" s="30" t="n">
        <f aca="false">(M166+Inputs!$B$13-Inputs!$B$14)/Inputs!$B$9*Inputs!$B$6</f>
        <v>7.83565916125059</v>
      </c>
    </row>
    <row r="167" customFormat="false" ht="15" hidden="false" customHeight="false" outlineLevel="0" collapsed="false">
      <c r="A167" s="20" t="n">
        <v>0.515</v>
      </c>
      <c r="B167" s="33" t="n">
        <f aca="false">'ARR Model'!$B$15</f>
        <v>255.1</v>
      </c>
      <c r="C167" s="34" t="n">
        <f aca="false">B167*$A167+'ARR Model'!C$13</f>
        <v>155.7075</v>
      </c>
      <c r="D167" s="34" t="n">
        <f aca="false">C167*$A167+'ARR Model'!D$13</f>
        <v>104.5203625</v>
      </c>
      <c r="E167" s="34" t="n">
        <f aca="false">D167*$A167+'ARR Model'!E$13</f>
        <v>78.1589866875</v>
      </c>
      <c r="F167" s="34" t="n">
        <f aca="false">E167*$A167+'ARR Model'!F$13</f>
        <v>64.5828781440625</v>
      </c>
      <c r="G167" s="34" t="n">
        <f aca="false">F167*$A167+'ARR Model'!G$13</f>
        <v>57.5911822441922</v>
      </c>
      <c r="H167" s="34" t="n">
        <f aca="false">G167*$A167+'ARR Model'!H$13</f>
        <v>53.990458855759</v>
      </c>
      <c r="I167" s="34" t="n">
        <f aca="false">H167*$A167+'ARR Model'!I$13</f>
        <v>52.1360863107159</v>
      </c>
      <c r="J167" s="34" t="n">
        <f aca="false">I167*$A167+'ARR Model'!J$13</f>
        <v>51.1810844500187</v>
      </c>
      <c r="K167" s="34" t="n">
        <f aca="false">J167*$A167+'ARR Model'!K$13</f>
        <v>50.6892584917596</v>
      </c>
      <c r="L167" s="34" t="n">
        <f aca="false">K167*$A167+'ARR Model'!L$13</f>
        <v>50.4359681232562</v>
      </c>
      <c r="M167" s="34" t="n">
        <f aca="false">SUMPRODUCT((B167:K167+C167:L167)/2*Inputs!$B$44,'ARR Model'!$C$9:$L$9,DCF!$C$5:$L$5)+AVERAGE(K167,L167)*Inputs!$B$44*'ARR Model'!$L$9*(1+Assumptions!$C$11)/(Assumptions!$C$10-Assumptions!$C$11)*DCF!$L$5</f>
        <v>182.665606658029</v>
      </c>
      <c r="N167" s="30" t="n">
        <f aca="false">(M167+Inputs!$B$13-Inputs!$B$14)/Inputs!$B$9*Inputs!$B$6</f>
        <v>7.72857818561151</v>
      </c>
    </row>
    <row r="168" customFormat="false" ht="15" hidden="false" customHeight="false" outlineLevel="0" collapsed="false">
      <c r="A168" s="20" t="n">
        <v>0.51</v>
      </c>
      <c r="B168" s="33" t="n">
        <f aca="false">'ARR Model'!$B$15</f>
        <v>255.1</v>
      </c>
      <c r="C168" s="34" t="n">
        <f aca="false">B168*$A168+'ARR Model'!C$13</f>
        <v>154.432</v>
      </c>
      <c r="D168" s="34" t="n">
        <f aca="false">C168*$A168+'ARR Model'!D$13</f>
        <v>103.09132</v>
      </c>
      <c r="E168" s="34" t="n">
        <f aca="false">D168*$A168+'ARR Model'!E$13</f>
        <v>76.9075732</v>
      </c>
      <c r="F168" s="34" t="n">
        <f aca="false">E168*$A168+'ARR Model'!F$13</f>
        <v>63.553862332</v>
      </c>
      <c r="G168" s="34" t="n">
        <f aca="false">F168*$A168+'ARR Model'!G$13</f>
        <v>56.74346978932</v>
      </c>
      <c r="H168" s="34" t="n">
        <f aca="false">G168*$A168+'ARR Model'!H$13</f>
        <v>53.2701695925532</v>
      </c>
      <c r="I168" s="34" t="n">
        <f aca="false">H168*$A168+'ARR Model'!I$13</f>
        <v>51.4987864922021</v>
      </c>
      <c r="J168" s="34" t="n">
        <f aca="false">I168*$A168+'ARR Model'!J$13</f>
        <v>50.5953811110231</v>
      </c>
      <c r="K168" s="34" t="n">
        <f aca="false">J168*$A168+'ARR Model'!K$13</f>
        <v>50.1346443666218</v>
      </c>
      <c r="L168" s="34" t="n">
        <f aca="false">K168*$A168+'ARR Model'!L$13</f>
        <v>49.8996686269771</v>
      </c>
      <c r="M168" s="34" t="n">
        <f aca="false">SUMPRODUCT((B168:K168+C168:L168)/2*Inputs!$B$44,'ARR Model'!$C$9:$L$9,DCF!$C$5:$L$5)+AVERAGE(K168,L168)*Inputs!$B$44*'ARR Model'!$L$9*(1+Assumptions!$C$11)/(Assumptions!$C$10-Assumptions!$C$11)*DCF!$L$5</f>
        <v>180.790632946609</v>
      </c>
      <c r="N168" s="30" t="n">
        <f aca="false">(M168+Inputs!$B$13-Inputs!$B$14)/Inputs!$B$9*Inputs!$B$6</f>
        <v>7.62348217093129</v>
      </c>
    </row>
    <row r="169" customFormat="false" ht="15" hidden="false" customHeight="false" outlineLevel="0" collapsed="false">
      <c r="A169" s="20" t="n">
        <v>0.505</v>
      </c>
      <c r="B169" s="33" t="n">
        <f aca="false">'ARR Model'!$B$15</f>
        <v>255.1</v>
      </c>
      <c r="C169" s="34" t="n">
        <f aca="false">B169*$A169+'ARR Model'!C$13</f>
        <v>153.1565</v>
      </c>
      <c r="D169" s="34" t="n">
        <f aca="false">C169*$A169+'ARR Model'!D$13</f>
        <v>101.6750325</v>
      </c>
      <c r="E169" s="34" t="n">
        <f aca="false">D169*$A169+'ARR Model'!E$13</f>
        <v>75.6768914125</v>
      </c>
      <c r="F169" s="34" t="n">
        <f aca="false">E169*$A169+'ARR Model'!F$13</f>
        <v>62.5478301633125</v>
      </c>
      <c r="G169" s="34" t="n">
        <f aca="false">F169*$A169+'ARR Model'!G$13</f>
        <v>55.9176542324728</v>
      </c>
      <c r="H169" s="34" t="n">
        <f aca="false">G169*$A169+'ARR Model'!H$13</f>
        <v>52.5694153873988</v>
      </c>
      <c r="I169" s="34" t="n">
        <f aca="false">H169*$A169+'ARR Model'!I$13</f>
        <v>50.8785547706364</v>
      </c>
      <c r="J169" s="34" t="n">
        <f aca="false">I169*$A169+'ARR Model'!J$13</f>
        <v>50.0246701591714</v>
      </c>
      <c r="K169" s="34" t="n">
        <f aca="false">J169*$A169+'ARR Model'!K$13</f>
        <v>49.5934584303815</v>
      </c>
      <c r="L169" s="34" t="n">
        <f aca="false">K169*$A169+'ARR Model'!L$13</f>
        <v>49.3756965073427</v>
      </c>
      <c r="M169" s="34" t="n">
        <f aca="false">SUMPRODUCT((B169:K169+C169:L169)/2*Inputs!$B$44,'ARR Model'!$C$9:$L$9,DCF!$C$5:$L$5)+AVERAGE(K169,L169)*Inputs!$B$44*'ARR Model'!$L$9*(1+Assumptions!$C$11)/(Assumptions!$C$10-Assumptions!$C$11)*DCF!$L$5</f>
        <v>178.950054407937</v>
      </c>
      <c r="N169" s="30" t="n">
        <f aca="false">(M169+Inputs!$B$13-Inputs!$B$14)/Inputs!$B$9*Inputs!$B$6</f>
        <v>7.52031407425762</v>
      </c>
    </row>
    <row r="170" customFormat="false" ht="15" hidden="false" customHeight="false" outlineLevel="0" collapsed="false">
      <c r="A170" s="20" t="n">
        <v>0.5</v>
      </c>
      <c r="B170" s="33" t="n">
        <f aca="false">'ARR Model'!$B$15</f>
        <v>255.1</v>
      </c>
      <c r="C170" s="34" t="n">
        <f aca="false">B170*$A170+'ARR Model'!C$13</f>
        <v>151.881</v>
      </c>
      <c r="D170" s="34" t="n">
        <f aca="false">C170*$A170+'ARR Model'!D$13</f>
        <v>100.2715</v>
      </c>
      <c r="E170" s="34" t="n">
        <f aca="false">D170*$A170+'ARR Model'!E$13</f>
        <v>74.46675</v>
      </c>
      <c r="F170" s="34" t="n">
        <f aca="false">E170*$A170+'ARR Model'!F$13</f>
        <v>61.564375</v>
      </c>
      <c r="G170" s="34" t="n">
        <f aca="false">F170*$A170+'ARR Model'!G$13</f>
        <v>55.1131875</v>
      </c>
      <c r="H170" s="34" t="n">
        <f aca="false">G170*$A170+'ARR Model'!H$13</f>
        <v>51.88759375</v>
      </c>
      <c r="I170" s="34" t="n">
        <f aca="false">H170*$A170+'ARR Model'!I$13</f>
        <v>50.274796875</v>
      </c>
      <c r="J170" s="34" t="n">
        <f aca="false">I170*$A170+'ARR Model'!J$13</f>
        <v>49.4683984375</v>
      </c>
      <c r="K170" s="34" t="n">
        <f aca="false">J170*$A170+'ARR Model'!K$13</f>
        <v>49.06519921875</v>
      </c>
      <c r="L170" s="34" t="n">
        <f aca="false">K170*$A170+'ARR Model'!L$13</f>
        <v>48.863599609375</v>
      </c>
      <c r="M170" s="34" t="n">
        <f aca="false">SUMPRODUCT((B170:K170+C170:L170)/2*Inputs!$B$44,'ARR Model'!$C$9:$L$9,DCF!$C$5:$L$5)+AVERAGE(K170,L170)*Inputs!$B$44*'ARR Model'!$L$9*(1+Assumptions!$C$11)/(Assumptions!$C$10-Assumptions!$C$11)*DCF!$L$5</f>
        <v>177.142890945837</v>
      </c>
      <c r="N170" s="30" t="n">
        <f aca="false">(M170+Inputs!$B$13-Inputs!$B$14)/Inputs!$B$9*Inputs!$B$6</f>
        <v>7.41901895924578</v>
      </c>
    </row>
    <row r="172" customFormat="false" ht="15" hidden="false" customHeight="false" outlineLevel="0" collapsed="false">
      <c r="A172" s="32" t="s">
        <v>151</v>
      </c>
    </row>
    <row r="173" customFormat="false" ht="15" hidden="false" customHeight="false" outlineLevel="0" collapsed="false">
      <c r="A173" s="20" t="n">
        <f aca="false">Inputs!B17</f>
        <v>0.99</v>
      </c>
      <c r="B173" s="33" t="n">
        <f aca="false">'ARR Model'!$B$15</f>
        <v>255.1</v>
      </c>
      <c r="C173" s="34" t="n">
        <f aca="false">B173*$A173+'ARR Model'!C$13</f>
        <v>276.88</v>
      </c>
      <c r="D173" s="34" t="n">
        <f aca="false">C173*$A173+'ARR Model'!D$13</f>
        <v>298.4422</v>
      </c>
      <c r="E173" s="34" t="n">
        <f aca="false">D173*$A173+'ARR Model'!E$13</f>
        <v>319.788778</v>
      </c>
      <c r="F173" s="34" t="n">
        <f aca="false">E173*$A173+'ARR Model'!F$13</f>
        <v>340.92189022</v>
      </c>
      <c r="G173" s="34" t="n">
        <f aca="false">F173*$A173+'ARR Model'!G$13</f>
        <v>361.8436713178</v>
      </c>
      <c r="H173" s="34" t="n">
        <f aca="false">G173*$A173+'ARR Model'!H$13</f>
        <v>382.556234604622</v>
      </c>
      <c r="I173" s="34" t="n">
        <f aca="false">H173*$A173+'ARR Model'!I$13</f>
        <v>403.061672258576</v>
      </c>
      <c r="J173" s="34" t="n">
        <f aca="false">I173*$A173+'ARR Model'!J$13</f>
        <v>423.36205553599</v>
      </c>
      <c r="K173" s="34" t="n">
        <f aca="false">J173*$A173+'ARR Model'!K$13</f>
        <v>443.45943498063</v>
      </c>
      <c r="L173" s="34" t="n">
        <f aca="false">K173*$A173+'ARR Model'!L$13</f>
        <v>463.355840630824</v>
      </c>
      <c r="M173" s="34" t="n">
        <f aca="false">SUMPRODUCT((B173:K173+C173:L173)/2*Inputs!$B$44,'ARR Model'!$C$9:$L$9,DCF!$C$5:$L$5)+AVERAGE(K173,L173)*Inputs!$B$44*'ARR Model'!$L$9*(1+Assumptions!$C$11)/(Assumptions!$C$10-Assumptions!$C$11)*DCF!$L$5</f>
        <v>999.795619886249</v>
      </c>
      <c r="N173" s="30" t="n">
        <f aca="false">(M173+Inputs!$B$13-Inputs!$B$14)/Inputs!$B$9*Inputs!$B$6</f>
        <v>53.5303445478972</v>
      </c>
      <c r="O173" s="6" t="s">
        <v>152</v>
      </c>
    </row>
    <row r="174" customFormat="false" ht="15" hidden="false" customHeight="false" outlineLevel="0" collapsed="false">
      <c r="A174" s="20" t="n">
        <f aca="false">IF(ISNUMBER(H5),H5,0)</f>
        <v>0.902518223377385</v>
      </c>
      <c r="B174" s="33" t="n">
        <f aca="false">'ARR Model'!$B$15</f>
        <v>255.1</v>
      </c>
      <c r="C174" s="34" t="n">
        <f aca="false">B174*$A174+'ARR Model'!C$13</f>
        <v>254.563398783571</v>
      </c>
      <c r="D174" s="34" t="n">
        <f aca="false">C174*$A174+'ARR Model'!D$13</f>
        <v>254.079106407057</v>
      </c>
      <c r="E174" s="34" t="n">
        <f aca="false">D174*$A174+'ARR Model'!E$13</f>
        <v>253.642023711811</v>
      </c>
      <c r="F174" s="34" t="n">
        <f aca="false">E174*$A174+'ARR Model'!F$13</f>
        <v>253.247548614228</v>
      </c>
      <c r="G174" s="34" t="n">
        <f aca="false">F174*$A174+'ARR Model'!G$13</f>
        <v>252.891527649991</v>
      </c>
      <c r="H174" s="34" t="n">
        <f aca="false">G174*$A174+'ARR Model'!H$13</f>
        <v>252.570212241863</v>
      </c>
      <c r="I174" s="34" t="n">
        <f aca="false">H174*$A174+'ARR Model'!I$13</f>
        <v>252.280219230575</v>
      </c>
      <c r="J174" s="34" t="n">
        <f aca="false">I174*$A174+'ARR Model'!J$13</f>
        <v>252.018495253236</v>
      </c>
      <c r="K174" s="34" t="n">
        <f aca="false">J174*$A174+'ARR Model'!K$13</f>
        <v>251.782284594193</v>
      </c>
      <c r="L174" s="34" t="n">
        <f aca="false">K174*$A174+'ARR Model'!L$13</f>
        <v>251.56910016985</v>
      </c>
      <c r="M174" s="34" t="n">
        <f aca="false">SUMPRODUCT((B174:K174+C174:L174)/2*Inputs!$B$44,'ARR Model'!$C$9:$L$9,DCF!$C$5:$L$5)+AVERAGE(K174,L174)*Inputs!$B$44*'ARR Model'!$L$9*(1+Assumptions!$C$11)/(Assumptions!$C$10-Assumptions!$C$11)*DCF!$L$5</f>
        <v>637.384318879995</v>
      </c>
      <c r="N174" s="30" t="n">
        <f aca="false">(M174+Inputs!$B$13-Inputs!$B$14)/Inputs!$B$9*Inputs!$B$6</f>
        <v>33.216468583211</v>
      </c>
      <c r="O174" s="6" t="s">
        <v>153</v>
      </c>
    </row>
    <row r="175" customFormat="false" ht="15" hidden="false" customHeight="false" outlineLevel="0" collapsed="false">
      <c r="A175" s="20" t="n">
        <f aca="false">Assumptions!C5</f>
        <v>0.99</v>
      </c>
      <c r="B175" s="33" t="n">
        <f aca="false">'ARR Model'!$B$15</f>
        <v>255.1</v>
      </c>
      <c r="C175" s="34" t="n">
        <f aca="false">B175*$A175+'ARR Model'!C$13</f>
        <v>276.88</v>
      </c>
      <c r="D175" s="34" t="n">
        <f aca="false">C175*$A175+'ARR Model'!D$13</f>
        <v>298.4422</v>
      </c>
      <c r="E175" s="34" t="n">
        <f aca="false">D175*$A175+'ARR Model'!E$13</f>
        <v>319.788778</v>
      </c>
      <c r="F175" s="34" t="n">
        <f aca="false">E175*$A175+'ARR Model'!F$13</f>
        <v>340.92189022</v>
      </c>
      <c r="G175" s="34" t="n">
        <f aca="false">F175*$A175+'ARR Model'!G$13</f>
        <v>361.8436713178</v>
      </c>
      <c r="H175" s="34" t="n">
        <f aca="false">G175*$A175+'ARR Model'!H$13</f>
        <v>382.556234604622</v>
      </c>
      <c r="I175" s="34" t="n">
        <f aca="false">H175*$A175+'ARR Model'!I$13</f>
        <v>403.061672258576</v>
      </c>
      <c r="J175" s="34" t="n">
        <f aca="false">I175*$A175+'ARR Model'!J$13</f>
        <v>423.36205553599</v>
      </c>
      <c r="K175" s="34" t="n">
        <f aca="false">J175*$A175+'ARR Model'!K$13</f>
        <v>443.45943498063</v>
      </c>
      <c r="L175" s="34" t="n">
        <f aca="false">K175*$A175+'ARR Model'!L$13</f>
        <v>463.355840630824</v>
      </c>
      <c r="M175" s="34" t="n">
        <f aca="false">SUMPRODUCT((B175:K175+C175:L175)/2*Inputs!$B$44,'ARR Model'!$C$9:$L$9,DCF!$C$5:$L$5)+AVERAGE(K175,L175)*Inputs!$B$44*'ARR Model'!$L$9*(1+Assumptions!$C$11)/(Assumptions!$C$10-Assumptions!$C$11)*DCF!$L$5</f>
        <v>999.795619886249</v>
      </c>
      <c r="N175" s="30" t="n">
        <f aca="false">(M175+Inputs!$B$13-Inputs!$B$14)/Inputs!$B$9*Inputs!$B$6</f>
        <v>53.5303445478972</v>
      </c>
      <c r="O175" s="6" t="s">
        <v>154</v>
      </c>
    </row>
    <row r="176" customFormat="false" ht="15" hidden="false" customHeight="false" outlineLevel="0" collapsed="false">
      <c r="A176" s="32" t="str">
        <f aca="false">IF(ABS(N175-DCF!C18)&lt;0.005,"CHECK OK: engine matches DCF tab","CHECK FAILED: engine differs from DCF tab")</f>
        <v>CHECK OK: engine matches DCF tab</v>
      </c>
    </row>
  </sheetData>
  <mergeCells count="9">
    <mergeCell ref="A4:G4"/>
    <mergeCell ref="A5:G5"/>
    <mergeCell ref="A6:G6"/>
    <mergeCell ref="A7:G7"/>
    <mergeCell ref="A8:G8"/>
    <mergeCell ref="A9:G9"/>
    <mergeCell ref="A10:G10"/>
    <mergeCell ref="A11:G11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92"/>
  </cols>
  <sheetData>
    <row r="1" customFormat="false" ht="17.35" hidden="false" customHeight="false" outlineLevel="0" collapsed="false">
      <c r="B1" s="5" t="s">
        <v>155</v>
      </c>
    </row>
    <row r="2" customFormat="false" ht="15" hidden="false" customHeight="false" outlineLevel="0" collapsed="false">
      <c r="B2" s="6" t="s">
        <v>156</v>
      </c>
    </row>
    <row r="4" customFormat="false" ht="15" hidden="false" customHeight="false" outlineLevel="0" collapsed="false">
      <c r="A4" s="7"/>
      <c r="B4" s="8" t="s">
        <v>157</v>
      </c>
      <c r="C4" s="8" t="s">
        <v>34</v>
      </c>
      <c r="D4" s="8" t="s">
        <v>36</v>
      </c>
      <c r="E4" s="8" t="s">
        <v>158</v>
      </c>
    </row>
    <row r="5" customFormat="false" ht="15" hidden="false" customHeight="false" outlineLevel="0" collapsed="false">
      <c r="B5" s="9" t="s">
        <v>159</v>
      </c>
      <c r="C5" s="19" t="n">
        <v>0.99</v>
      </c>
      <c r="D5" s="12" t="s">
        <v>40</v>
      </c>
      <c r="E5" s="6" t="s">
        <v>160</v>
      </c>
    </row>
    <row r="6" customFormat="false" ht="15" hidden="false" customHeight="false" outlineLevel="0" collapsed="false">
      <c r="B6" s="9" t="s">
        <v>161</v>
      </c>
      <c r="C6" s="35" t="n">
        <f aca="false">Inputs!B43</f>
        <v>24.331</v>
      </c>
      <c r="D6" s="12" t="s">
        <v>52</v>
      </c>
      <c r="E6" s="6" t="s">
        <v>162</v>
      </c>
    </row>
    <row r="7" customFormat="false" ht="15" hidden="false" customHeight="false" outlineLevel="0" collapsed="false">
      <c r="B7" s="9" t="s">
        <v>163</v>
      </c>
      <c r="C7" s="36" t="n">
        <f aca="false">Inputs!B19</f>
        <v>0.24</v>
      </c>
      <c r="D7" s="12" t="s">
        <v>75</v>
      </c>
      <c r="E7" s="6" t="s">
        <v>164</v>
      </c>
    </row>
    <row r="8" customFormat="false" ht="15" hidden="false" customHeight="false" outlineLevel="0" collapsed="false">
      <c r="B8" s="9" t="s">
        <v>165</v>
      </c>
      <c r="C8" s="37" t="n">
        <v>2</v>
      </c>
      <c r="D8" s="12" t="s">
        <v>75</v>
      </c>
      <c r="E8" s="6" t="s">
        <v>166</v>
      </c>
    </row>
    <row r="9" customFormat="false" ht="15" hidden="false" customHeight="false" outlineLevel="0" collapsed="false">
      <c r="B9" s="9" t="s">
        <v>167</v>
      </c>
      <c r="C9" s="38" t="n">
        <f aca="false">Inputs!B39</f>
        <v>0.876712328767124</v>
      </c>
      <c r="D9" s="12" t="s">
        <v>52</v>
      </c>
      <c r="E9" s="6" t="s">
        <v>168</v>
      </c>
    </row>
    <row r="10" customFormat="false" ht="15" hidden="false" customHeight="false" outlineLevel="0" collapsed="false">
      <c r="B10" s="9" t="s">
        <v>169</v>
      </c>
      <c r="C10" s="19" t="n">
        <v>0.1</v>
      </c>
      <c r="D10" s="12" t="s">
        <v>170</v>
      </c>
      <c r="E10" s="6" t="s">
        <v>171</v>
      </c>
    </row>
    <row r="11" customFormat="false" ht="15" hidden="false" customHeight="false" outlineLevel="0" collapsed="false">
      <c r="B11" s="9" t="s">
        <v>172</v>
      </c>
      <c r="C11" s="15" t="n">
        <v>0.025</v>
      </c>
      <c r="D11" s="12" t="s">
        <v>170</v>
      </c>
      <c r="E11" s="6" t="s">
        <v>173</v>
      </c>
    </row>
    <row r="12" customFormat="false" ht="15" hidden="false" customHeight="false" outlineLevel="0" collapsed="false">
      <c r="B12" s="9" t="s">
        <v>174</v>
      </c>
      <c r="C12" s="38" t="n">
        <f aca="false">Inputs!B16</f>
        <v>0.794</v>
      </c>
      <c r="D12" s="12" t="s">
        <v>40</v>
      </c>
      <c r="E12" s="6" t="s">
        <v>175</v>
      </c>
    </row>
    <row r="14" customFormat="false" ht="15" hidden="false" customHeight="false" outlineLevel="0" collapsed="false">
      <c r="B14" s="32" t="s">
        <v>176</v>
      </c>
      <c r="C14" s="39" t="n">
        <f aca="false">1-C5</f>
        <v>0.01</v>
      </c>
    </row>
    <row r="16" customFormat="false" ht="15" hidden="false" customHeight="false" outlineLevel="0" collapsed="false">
      <c r="B16" s="32" t="s">
        <v>177</v>
      </c>
    </row>
    <row r="17" customFormat="false" ht="15" hidden="false" customHeight="false" outlineLevel="0" collapsed="false">
      <c r="B17" s="9" t="s">
        <v>178</v>
      </c>
      <c r="C17" s="38" t="n">
        <f aca="false">Inputs!B20</f>
        <v>0.0399</v>
      </c>
    </row>
    <row r="18" customFormat="false" ht="15" hidden="false" customHeight="false" outlineLevel="0" collapsed="false">
      <c r="B18" s="9" t="s">
        <v>179</v>
      </c>
      <c r="C18" s="14" t="n">
        <v>1</v>
      </c>
      <c r="D18" s="12" t="s">
        <v>180</v>
      </c>
    </row>
    <row r="19" customFormat="false" ht="15" hidden="false" customHeight="false" outlineLevel="0" collapsed="false">
      <c r="B19" s="9" t="s">
        <v>181</v>
      </c>
      <c r="C19" s="15" t="n">
        <v>0.05</v>
      </c>
      <c r="D19" s="12" t="s">
        <v>170</v>
      </c>
    </row>
    <row r="20" customFormat="false" ht="15" hidden="false" customHeight="false" outlineLevel="0" collapsed="false">
      <c r="B20" s="32" t="s">
        <v>182</v>
      </c>
      <c r="C20" s="40" t="n">
        <f aca="false">C17+C18*C19</f>
        <v>0.0899</v>
      </c>
      <c r="E20" s="6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12" min="3" style="0" width="11"/>
  </cols>
  <sheetData>
    <row r="1" customFormat="false" ht="17.35" hidden="false" customHeight="false" outlineLevel="0" collapsed="false">
      <c r="A1" s="5" t="s">
        <v>184</v>
      </c>
    </row>
    <row r="2" customFormat="false" ht="15" hidden="false" customHeight="false" outlineLevel="0" collapsed="false">
      <c r="A2" s="41" t="s">
        <v>185</v>
      </c>
      <c r="B2" s="42" t="n">
        <v>0</v>
      </c>
      <c r="C2" s="42" t="n">
        <f aca="false">B2+1</f>
        <v>1</v>
      </c>
      <c r="D2" s="42" t="n">
        <f aca="false">C2+1</f>
        <v>2</v>
      </c>
      <c r="E2" s="42" t="n">
        <f aca="false">D2+1</f>
        <v>3</v>
      </c>
      <c r="F2" s="42" t="n">
        <f aca="false">E2+1</f>
        <v>4</v>
      </c>
      <c r="G2" s="42" t="n">
        <f aca="false">F2+1</f>
        <v>5</v>
      </c>
      <c r="H2" s="42" t="n">
        <f aca="false">G2+1</f>
        <v>6</v>
      </c>
      <c r="I2" s="42" t="n">
        <f aca="false">H2+1</f>
        <v>7</v>
      </c>
      <c r="J2" s="42" t="n">
        <f aca="false">I2+1</f>
        <v>8</v>
      </c>
      <c r="K2" s="42" t="n">
        <f aca="false">J2+1</f>
        <v>9</v>
      </c>
      <c r="L2" s="42" t="n">
        <f aca="false">K2+1</f>
        <v>10</v>
      </c>
    </row>
    <row r="3" customFormat="false" ht="15" hidden="false" customHeight="false" outlineLevel="0" collapsed="false">
      <c r="A3" s="41" t="s">
        <v>186</v>
      </c>
      <c r="B3" s="42" t="s">
        <v>187</v>
      </c>
      <c r="C3" s="42" t="str">
        <f aca="false">"Yr "&amp;C2</f>
        <v>Yr 1</v>
      </c>
      <c r="D3" s="42" t="str">
        <f aca="false">"Yr "&amp;D2</f>
        <v>Yr 2</v>
      </c>
      <c r="E3" s="42" t="str">
        <f aca="false">"Yr "&amp;E2</f>
        <v>Yr 3</v>
      </c>
      <c r="F3" s="42" t="str">
        <f aca="false">"Yr "&amp;F2</f>
        <v>Yr 4</v>
      </c>
      <c r="G3" s="42" t="str">
        <f aca="false">"Yr "&amp;G2</f>
        <v>Yr 5</v>
      </c>
      <c r="H3" s="42" t="str">
        <f aca="false">"Yr "&amp;H2</f>
        <v>Yr 6</v>
      </c>
      <c r="I3" s="42" t="str">
        <f aca="false">"Yr "&amp;I2</f>
        <v>Yr 7</v>
      </c>
      <c r="J3" s="42" t="str">
        <f aca="false">"Yr "&amp;J2</f>
        <v>Yr 8</v>
      </c>
      <c r="K3" s="42" t="str">
        <f aca="false">"Yr "&amp;K2</f>
        <v>Yr 9</v>
      </c>
      <c r="L3" s="42" t="str">
        <f aca="false">"Yr "&amp;L2</f>
        <v>Yr 10</v>
      </c>
    </row>
    <row r="5" customFormat="false" ht="15" hidden="false" customHeight="false" outlineLevel="0" collapsed="false">
      <c r="A5" s="43" t="s">
        <v>188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customFormat="false" ht="15" hidden="false" customHeight="false" outlineLevel="0" collapsed="false">
      <c r="A6" s="9" t="s">
        <v>189</v>
      </c>
      <c r="C6" s="20" t="n">
        <f aca="false">MIN(C$2/Assumptions!$C$8,1)</f>
        <v>0.5</v>
      </c>
      <c r="D6" s="20" t="n">
        <f aca="false">MIN(D$2/Assumptions!$C$8,1)</f>
        <v>1</v>
      </c>
      <c r="E6" s="20" t="n">
        <f aca="false">MIN(E$2/Assumptions!$C$8,1)</f>
        <v>1</v>
      </c>
      <c r="F6" s="20" t="n">
        <f aca="false">MIN(F$2/Assumptions!$C$8,1)</f>
        <v>1</v>
      </c>
      <c r="G6" s="20" t="n">
        <f aca="false">MIN(G$2/Assumptions!$C$8,1)</f>
        <v>1</v>
      </c>
      <c r="H6" s="20" t="n">
        <f aca="false">MIN(H$2/Assumptions!$C$8,1)</f>
        <v>1</v>
      </c>
      <c r="I6" s="20" t="n">
        <f aca="false">MIN(I$2/Assumptions!$C$8,1)</f>
        <v>1</v>
      </c>
      <c r="J6" s="20" t="n">
        <f aca="false">MIN(J$2/Assumptions!$C$8,1)</f>
        <v>1</v>
      </c>
      <c r="K6" s="20" t="n">
        <f aca="false">MIN(K$2/Assumptions!$C$8,1)</f>
        <v>1</v>
      </c>
      <c r="L6" s="20" t="n">
        <f aca="false">MIN(L$2/Assumptions!$C$8,1)</f>
        <v>1</v>
      </c>
    </row>
    <row r="7" customFormat="false" ht="15" hidden="false" customHeight="false" outlineLevel="0" collapsed="false">
      <c r="A7" s="9" t="s">
        <v>190</v>
      </c>
      <c r="B7" s="38" t="n">
        <f aca="false">Inputs!B35</f>
        <v>0.185013518733102</v>
      </c>
      <c r="C7" s="38" t="n">
        <f aca="false">Inputs!$B$35+(Assumptions!$C$7-Inputs!$B$35)*C6</f>
        <v>0.212506759366551</v>
      </c>
      <c r="D7" s="38" t="n">
        <f aca="false">Inputs!$B$35+(Assumptions!$C$7-Inputs!$B$35)*D6</f>
        <v>0.24</v>
      </c>
      <c r="E7" s="38" t="n">
        <f aca="false">Inputs!$B$35+(Assumptions!$C$7-Inputs!$B$35)*E6</f>
        <v>0.24</v>
      </c>
      <c r="F7" s="38" t="n">
        <f aca="false">Inputs!$B$35+(Assumptions!$C$7-Inputs!$B$35)*F6</f>
        <v>0.24</v>
      </c>
      <c r="G7" s="38" t="n">
        <f aca="false">Inputs!$B$35+(Assumptions!$C$7-Inputs!$B$35)*G6</f>
        <v>0.24</v>
      </c>
      <c r="H7" s="38" t="n">
        <f aca="false">Inputs!$B$35+(Assumptions!$C$7-Inputs!$B$35)*H6</f>
        <v>0.24</v>
      </c>
      <c r="I7" s="38" t="n">
        <f aca="false">Inputs!$B$35+(Assumptions!$C$7-Inputs!$B$35)*I6</f>
        <v>0.24</v>
      </c>
      <c r="J7" s="38" t="n">
        <f aca="false">Inputs!$B$35+(Assumptions!$C$7-Inputs!$B$35)*J6</f>
        <v>0.24</v>
      </c>
      <c r="K7" s="38" t="n">
        <f aca="false">Inputs!$B$35+(Assumptions!$C$7-Inputs!$B$35)*K6</f>
        <v>0.24</v>
      </c>
      <c r="L7" s="38" t="n">
        <f aca="false">Inputs!$B$35+(Assumptions!$C$7-Inputs!$B$35)*L6</f>
        <v>0.24</v>
      </c>
    </row>
    <row r="8" customFormat="false" ht="15" hidden="false" customHeight="false" outlineLevel="0" collapsed="false">
      <c r="A8" s="9" t="s">
        <v>167</v>
      </c>
      <c r="B8" s="38" t="n">
        <f aca="false">Inputs!B39</f>
        <v>0.876712328767124</v>
      </c>
      <c r="C8" s="38" t="n">
        <f aca="false">Assumptions!$C$9</f>
        <v>0.876712328767124</v>
      </c>
      <c r="D8" s="38" t="n">
        <f aca="false">Assumptions!$C$9</f>
        <v>0.876712328767124</v>
      </c>
      <c r="E8" s="38" t="n">
        <f aca="false">Assumptions!$C$9</f>
        <v>0.876712328767124</v>
      </c>
      <c r="F8" s="38" t="n">
        <f aca="false">Assumptions!$C$9</f>
        <v>0.876712328767124</v>
      </c>
      <c r="G8" s="38" t="n">
        <f aca="false">Assumptions!$C$9</f>
        <v>0.876712328767124</v>
      </c>
      <c r="H8" s="38" t="n">
        <f aca="false">Assumptions!$C$9</f>
        <v>0.876712328767124</v>
      </c>
      <c r="I8" s="38" t="n">
        <f aca="false">Assumptions!$C$9</f>
        <v>0.876712328767124</v>
      </c>
      <c r="J8" s="38" t="n">
        <f aca="false">Assumptions!$C$9</f>
        <v>0.876712328767124</v>
      </c>
      <c r="K8" s="38" t="n">
        <f aca="false">Assumptions!$C$9</f>
        <v>0.876712328767124</v>
      </c>
      <c r="L8" s="38" t="n">
        <f aca="false">Assumptions!$C$9</f>
        <v>0.876712328767124</v>
      </c>
    </row>
    <row r="9" customFormat="false" ht="15" hidden="false" customHeight="false" outlineLevel="0" collapsed="false">
      <c r="A9" s="9" t="s">
        <v>191</v>
      </c>
      <c r="C9" s="20" t="n">
        <f aca="false">C7*C8</f>
        <v>0.186307295883004</v>
      </c>
      <c r="D9" s="20" t="n">
        <f aca="false">D7*D8</f>
        <v>0.21041095890411</v>
      </c>
      <c r="E9" s="20" t="n">
        <f aca="false">E7*E8</f>
        <v>0.21041095890411</v>
      </c>
      <c r="F9" s="20" t="n">
        <f aca="false">F7*F8</f>
        <v>0.21041095890411</v>
      </c>
      <c r="G9" s="20" t="n">
        <f aca="false">G7*G8</f>
        <v>0.21041095890411</v>
      </c>
      <c r="H9" s="20" t="n">
        <f aca="false">H7*H8</f>
        <v>0.21041095890411</v>
      </c>
      <c r="I9" s="20" t="n">
        <f aca="false">I7*I8</f>
        <v>0.21041095890411</v>
      </c>
      <c r="J9" s="20" t="n">
        <f aca="false">J7*J8</f>
        <v>0.21041095890411</v>
      </c>
      <c r="K9" s="20" t="n">
        <f aca="false">K7*K8</f>
        <v>0.21041095890411</v>
      </c>
      <c r="L9" s="20" t="n">
        <f aca="false">L7*L8</f>
        <v>0.21041095890411</v>
      </c>
    </row>
    <row r="11" customFormat="false" ht="15" hidden="false" customHeight="false" outlineLevel="0" collapsed="false">
      <c r="A11" s="43" t="s">
        <v>192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customFormat="false" ht="15" hidden="false" customHeight="false" outlineLevel="0" collapsed="false">
      <c r="A12" s="9" t="s">
        <v>193</v>
      </c>
      <c r="C12" s="17" t="n">
        <f aca="false">B15</f>
        <v>255.1</v>
      </c>
      <c r="D12" s="17" t="n">
        <f aca="false">C15</f>
        <v>276.88</v>
      </c>
      <c r="E12" s="17" t="n">
        <f aca="false">D15</f>
        <v>298.4422</v>
      </c>
      <c r="F12" s="17" t="n">
        <f aca="false">E15</f>
        <v>319.788778</v>
      </c>
      <c r="G12" s="17" t="n">
        <f aca="false">F15</f>
        <v>340.92189022</v>
      </c>
      <c r="H12" s="17" t="n">
        <f aca="false">G15</f>
        <v>361.8436713178</v>
      </c>
      <c r="I12" s="17" t="n">
        <f aca="false">H15</f>
        <v>382.556234604622</v>
      </c>
      <c r="J12" s="17" t="n">
        <f aca="false">I15</f>
        <v>403.061672258576</v>
      </c>
      <c r="K12" s="17" t="n">
        <f aca="false">J15</f>
        <v>423.36205553599</v>
      </c>
      <c r="L12" s="17" t="n">
        <f aca="false">K15</f>
        <v>443.45943498063</v>
      </c>
    </row>
    <row r="13" customFormat="false" ht="15" hidden="false" customHeight="false" outlineLevel="0" collapsed="false">
      <c r="A13" s="9" t="s">
        <v>194</v>
      </c>
      <c r="C13" s="35" t="n">
        <f aca="false">Assumptions!$C$6</f>
        <v>24.331</v>
      </c>
      <c r="D13" s="35" t="n">
        <f aca="false">Assumptions!$C$6</f>
        <v>24.331</v>
      </c>
      <c r="E13" s="35" t="n">
        <f aca="false">Assumptions!$C$6</f>
        <v>24.331</v>
      </c>
      <c r="F13" s="35" t="n">
        <f aca="false">Assumptions!$C$6</f>
        <v>24.331</v>
      </c>
      <c r="G13" s="35" t="n">
        <f aca="false">Assumptions!$C$6</f>
        <v>24.331</v>
      </c>
      <c r="H13" s="35" t="n">
        <f aca="false">Assumptions!$C$6</f>
        <v>24.331</v>
      </c>
      <c r="I13" s="35" t="n">
        <f aca="false">Assumptions!$C$6</f>
        <v>24.331</v>
      </c>
      <c r="J13" s="35" t="n">
        <f aca="false">Assumptions!$C$6</f>
        <v>24.331</v>
      </c>
      <c r="K13" s="35" t="n">
        <f aca="false">Assumptions!$C$6</f>
        <v>24.331</v>
      </c>
      <c r="L13" s="35" t="n">
        <f aca="false">Assumptions!$C$6</f>
        <v>24.331</v>
      </c>
    </row>
    <row r="14" customFormat="false" ht="15" hidden="false" customHeight="false" outlineLevel="0" collapsed="false">
      <c r="A14" s="9" t="s">
        <v>195</v>
      </c>
      <c r="C14" s="35" t="n">
        <f aca="false">C12*(Assumptions!$C$5-1)</f>
        <v>-2.551</v>
      </c>
      <c r="D14" s="35" t="n">
        <f aca="false">D12*(Assumptions!$C$5-1)</f>
        <v>-2.7688</v>
      </c>
      <c r="E14" s="35" t="n">
        <f aca="false">E12*(Assumptions!$C$5-1)</f>
        <v>-2.984422</v>
      </c>
      <c r="F14" s="35" t="n">
        <f aca="false">F12*(Assumptions!$C$5-1)</f>
        <v>-3.19788778</v>
      </c>
      <c r="G14" s="35" t="n">
        <f aca="false">G12*(Assumptions!$C$5-1)</f>
        <v>-3.4092189022</v>
      </c>
      <c r="H14" s="35" t="n">
        <f aca="false">H12*(Assumptions!$C$5-1)</f>
        <v>-3.618436713178</v>
      </c>
      <c r="I14" s="35" t="n">
        <f aca="false">I12*(Assumptions!$C$5-1)</f>
        <v>-3.82556234604622</v>
      </c>
      <c r="J14" s="35" t="n">
        <f aca="false">J12*(Assumptions!$C$5-1)</f>
        <v>-4.03061672258576</v>
      </c>
      <c r="K14" s="35" t="n">
        <f aca="false">K12*(Assumptions!$C$5-1)</f>
        <v>-4.2336205553599</v>
      </c>
      <c r="L14" s="35" t="n">
        <f aca="false">L12*(Assumptions!$C$5-1)</f>
        <v>-4.43459434980631</v>
      </c>
    </row>
    <row r="15" customFormat="false" ht="15" hidden="false" customHeight="false" outlineLevel="0" collapsed="false">
      <c r="A15" s="45" t="s">
        <v>196</v>
      </c>
      <c r="B15" s="46" t="n">
        <f aca="false">Inputs!B40</f>
        <v>255.1</v>
      </c>
      <c r="C15" s="47" t="n">
        <f aca="false">SUM(C12:C14)</f>
        <v>276.88</v>
      </c>
      <c r="D15" s="47" t="n">
        <f aca="false">SUM(D12:D14)</f>
        <v>298.4422</v>
      </c>
      <c r="E15" s="47" t="n">
        <f aca="false">SUM(E12:E14)</f>
        <v>319.788778</v>
      </c>
      <c r="F15" s="47" t="n">
        <f aca="false">SUM(F12:F14)</f>
        <v>340.92189022</v>
      </c>
      <c r="G15" s="47" t="n">
        <f aca="false">SUM(G12:G14)</f>
        <v>361.8436713178</v>
      </c>
      <c r="H15" s="47" t="n">
        <f aca="false">SUM(H12:H14)</f>
        <v>382.556234604622</v>
      </c>
      <c r="I15" s="47" t="n">
        <f aca="false">SUM(I12:I14)</f>
        <v>403.061672258576</v>
      </c>
      <c r="J15" s="47" t="n">
        <f aca="false">SUM(J12:J14)</f>
        <v>423.36205553599</v>
      </c>
      <c r="K15" s="47" t="n">
        <f aca="false">SUM(K12:K14)</f>
        <v>443.45943498063</v>
      </c>
      <c r="L15" s="47" t="n">
        <f aca="false">SUM(L12:L14)</f>
        <v>463.355840630824</v>
      </c>
    </row>
    <row r="16" customFormat="false" ht="15" hidden="false" customHeight="false" outlineLevel="0" collapsed="false">
      <c r="A16" s="9" t="s">
        <v>197</v>
      </c>
      <c r="C16" s="20" t="n">
        <f aca="false">C15/B15-1</f>
        <v>0.0853782830262642</v>
      </c>
      <c r="D16" s="20" t="n">
        <f aca="false">D15/C15-1</f>
        <v>0.0778756139843977</v>
      </c>
      <c r="E16" s="20" t="n">
        <f aca="false">E15/D15-1</f>
        <v>0.0715266741767753</v>
      </c>
      <c r="F16" s="20" t="n">
        <f aca="false">F15/E15-1</f>
        <v>0.0660845960642182</v>
      </c>
      <c r="G16" s="20" t="n">
        <f aca="false">G15/F15-1</f>
        <v>0.0613682538375551</v>
      </c>
      <c r="H16" s="20" t="n">
        <f aca="false">H15/G15-1</f>
        <v>0.0572417453409888</v>
      </c>
      <c r="I16" s="20" t="n">
        <f aca="false">I15/H15-1</f>
        <v>0.0536011069722768</v>
      </c>
      <c r="J16" s="20" t="n">
        <f aca="false">J15/I15-1</f>
        <v>0.0503654519261534</v>
      </c>
      <c r="K16" s="20" t="n">
        <f aca="false">K15/J15-1</f>
        <v>0.0474709038796501</v>
      </c>
      <c r="L16" s="20" t="n">
        <f aca="false">L15/K15-1</f>
        <v>0.0448663487136376</v>
      </c>
    </row>
    <row r="18" customFormat="false" ht="15" hidden="false" customHeight="false" outlineLevel="0" collapsed="false">
      <c r="A18" s="43" t="s">
        <v>198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customFormat="false" ht="15" hidden="false" customHeight="false" outlineLevel="0" collapsed="false">
      <c r="A19" s="32" t="s">
        <v>199</v>
      </c>
      <c r="B19" s="48" t="n">
        <f aca="false">Inputs!B32</f>
        <v>258.9</v>
      </c>
      <c r="C19" s="49" t="n">
        <f aca="false">AVERAGE(B15,C15)*Inputs!$B$44</f>
        <v>282.117210159771</v>
      </c>
      <c r="D19" s="49" t="n">
        <f aca="false">AVERAGE(C15,D15)*Inputs!$B$44</f>
        <v>305.102248217944</v>
      </c>
      <c r="E19" s="49" t="n">
        <f aca="false">AVERAGE(D15,E15)*Inputs!$B$44</f>
        <v>327.857435895535</v>
      </c>
      <c r="F19" s="49" t="n">
        <f aca="false">AVERAGE(E15,F15)*Inputs!$B$44</f>
        <v>350.38507169635</v>
      </c>
      <c r="G19" s="49" t="n">
        <f aca="false">AVERAGE(F15,G15)*Inputs!$B$44</f>
        <v>372.687431139157</v>
      </c>
      <c r="H19" s="49" t="n">
        <f aca="false">AVERAGE(G15,H15)*Inputs!$B$44</f>
        <v>394.766766987536</v>
      </c>
      <c r="I19" s="49" t="n">
        <f aca="false">AVERAGE(H15,I15)*Inputs!$B$44</f>
        <v>416.625309477431</v>
      </c>
      <c r="J19" s="49" t="n">
        <f aca="false">AVERAGE(I15,J15)*Inputs!$B$44</f>
        <v>438.265266542427</v>
      </c>
      <c r="K19" s="49" t="n">
        <f aca="false">AVERAGE(J15,K15)*Inputs!$B$44</f>
        <v>459.688824036774</v>
      </c>
      <c r="L19" s="49" t="n">
        <f aca="false">AVERAGE(K15,L15)*Inputs!$B$44</f>
        <v>480.898145956177</v>
      </c>
    </row>
    <row r="20" customFormat="false" ht="15" hidden="false" customHeight="false" outlineLevel="0" collapsed="false">
      <c r="A20" s="9" t="s">
        <v>200</v>
      </c>
      <c r="C20" s="20" t="n">
        <f aca="false">C19/B19-1</f>
        <v>0.0896763621466614</v>
      </c>
      <c r="D20" s="20" t="n">
        <f aca="false">D19/C19-1</f>
        <v>0.081473363660288</v>
      </c>
      <c r="E20" s="20" t="n">
        <f aca="false">E19/D19-1</f>
        <v>0.074582169782428</v>
      </c>
      <c r="F20" s="20" t="n">
        <f aca="false">F19/E19-1</f>
        <v>0.0687116817688811</v>
      </c>
      <c r="G20" s="20" t="n">
        <f aca="false">G19/F19-1</f>
        <v>0.0636509978431237</v>
      </c>
      <c r="H20" s="20" t="n">
        <f aca="false">H19/G19-1</f>
        <v>0.059243575188171</v>
      </c>
      <c r="I20" s="20" t="n">
        <f aca="false">I19/H19-1</f>
        <v>0.0553707766656697</v>
      </c>
      <c r="J20" s="20" t="n">
        <f aca="false">J19/I19-1</f>
        <v>0.0519410524822388</v>
      </c>
      <c r="K20" s="20" t="n">
        <f aca="false">K19/J19-1</f>
        <v>0.0488826268697076</v>
      </c>
      <c r="L20" s="20" t="n">
        <f aca="false">L19/K19-1</f>
        <v>0.0461384328058108</v>
      </c>
    </row>
    <row r="21" customFormat="false" ht="15" hidden="false" customHeight="false" outlineLevel="0" collapsed="false">
      <c r="A21" s="9" t="s">
        <v>201</v>
      </c>
      <c r="C21" s="17" t="n">
        <f aca="false">C19*Assumptions!$C$12</f>
        <v>224.001064866858</v>
      </c>
      <c r="D21" s="17" t="n">
        <f aca="false">D19*Assumptions!$C$12</f>
        <v>242.251185085047</v>
      </c>
      <c r="E21" s="17" t="n">
        <f aca="false">E19*Assumptions!$C$12</f>
        <v>260.318804101055</v>
      </c>
      <c r="F21" s="17" t="n">
        <f aca="false">F19*Assumptions!$C$12</f>
        <v>278.205746926902</v>
      </c>
      <c r="G21" s="17" t="n">
        <f aca="false">G19*Assumptions!$C$12</f>
        <v>295.913820324491</v>
      </c>
      <c r="H21" s="17" t="n">
        <f aca="false">H19*Assumptions!$C$12</f>
        <v>313.444812988104</v>
      </c>
      <c r="I21" s="17" t="n">
        <f aca="false">I19*Assumptions!$C$12</f>
        <v>330.80049572508</v>
      </c>
      <c r="J21" s="17" t="n">
        <f aca="false">J19*Assumptions!$C$12</f>
        <v>347.982621634687</v>
      </c>
      <c r="K21" s="17" t="n">
        <f aca="false">K19*Assumptions!$C$12</f>
        <v>364.992926285199</v>
      </c>
      <c r="L21" s="17" t="n">
        <f aca="false">L19*Assumptions!$C$12</f>
        <v>381.833127889204</v>
      </c>
    </row>
    <row r="22" customFormat="false" ht="15" hidden="false" customHeight="false" outlineLevel="0" collapsed="false">
      <c r="A22" s="9" t="s">
        <v>202</v>
      </c>
      <c r="C22" s="17" t="n">
        <f aca="false">C23-C21</f>
        <v>-164.049250774273</v>
      </c>
      <c r="D22" s="17" t="n">
        <f aca="false">D23-D21</f>
        <v>-169.026645512741</v>
      </c>
      <c r="E22" s="17" t="n">
        <f aca="false">E23-E21</f>
        <v>-181.633019486126</v>
      </c>
      <c r="F22" s="17" t="n">
        <f aca="false">F23-F21</f>
        <v>-194.113329719778</v>
      </c>
      <c r="G22" s="17" t="n">
        <f aca="false">G23-G21</f>
        <v>-206.468836851093</v>
      </c>
      <c r="H22" s="17" t="n">
        <f aca="false">H23-H21</f>
        <v>-218.700788911095</v>
      </c>
      <c r="I22" s="17" t="n">
        <f aca="false">I23-I21</f>
        <v>-230.810421450497</v>
      </c>
      <c r="J22" s="17" t="n">
        <f aca="false">J23-J21</f>
        <v>-242.798957664505</v>
      </c>
      <c r="K22" s="17" t="n">
        <f aca="false">K23-K21</f>
        <v>-254.667608516373</v>
      </c>
      <c r="L22" s="17" t="n">
        <f aca="false">L23-L21</f>
        <v>-266.417572859722</v>
      </c>
    </row>
    <row r="23" customFormat="false" ht="15" hidden="false" customHeight="false" outlineLevel="0" collapsed="false">
      <c r="A23" s="45" t="s">
        <v>91</v>
      </c>
      <c r="B23" s="46" t="n">
        <f aca="false">Inputs!B33</f>
        <v>47.9</v>
      </c>
      <c r="C23" s="47" t="n">
        <f aca="false">C19*C7</f>
        <v>59.951814092585</v>
      </c>
      <c r="D23" s="47" t="n">
        <f aca="false">D19*D7</f>
        <v>73.2245395723064</v>
      </c>
      <c r="E23" s="47" t="n">
        <f aca="false">E19*E7</f>
        <v>78.6857846149283</v>
      </c>
      <c r="F23" s="47" t="n">
        <f aca="false">F19*F7</f>
        <v>84.092417207124</v>
      </c>
      <c r="G23" s="47" t="n">
        <f aca="false">G19*G7</f>
        <v>89.4449834733977</v>
      </c>
      <c r="H23" s="47" t="n">
        <f aca="false">H19*H7</f>
        <v>94.7440240770086</v>
      </c>
      <c r="I23" s="47" t="n">
        <f aca="false">I19*I7</f>
        <v>99.9900742745835</v>
      </c>
      <c r="J23" s="47" t="n">
        <f aca="false">J19*J7</f>
        <v>105.183663970183</v>
      </c>
      <c r="K23" s="47" t="n">
        <f aca="false">K19*K7</f>
        <v>110.325317768826</v>
      </c>
      <c r="L23" s="47" t="n">
        <f aca="false">L19*L7</f>
        <v>115.415555029482</v>
      </c>
    </row>
    <row r="24" customFormat="false" ht="15" hidden="false" customHeight="false" outlineLevel="0" collapsed="false">
      <c r="A24" s="9" t="s">
        <v>203</v>
      </c>
      <c r="C24" s="17" t="n">
        <f aca="false">-C23*(1-C8)</f>
        <v>-7.39131954566116</v>
      </c>
      <c r="D24" s="17" t="n">
        <f aca="false">-D23*(1-D8)</f>
        <v>-9.02768296096927</v>
      </c>
      <c r="E24" s="17" t="n">
        <f aca="false">-E23*(1-E8)</f>
        <v>-9.70098714430622</v>
      </c>
      <c r="F24" s="17" t="n">
        <f aca="false">-F23*(1-F8)</f>
        <v>-10.3675582858098</v>
      </c>
      <c r="G24" s="17" t="n">
        <f aca="false">-G23*(1-G8)</f>
        <v>-11.0274637158983</v>
      </c>
      <c r="H24" s="17" t="n">
        <f aca="false">-H23*(1-H8)</f>
        <v>-11.680770091686</v>
      </c>
      <c r="I24" s="17" t="n">
        <f aca="false">-I23*(1-I8)</f>
        <v>-12.3275434037158</v>
      </c>
      <c r="J24" s="17" t="n">
        <f aca="false">-J23*(1-J8)</f>
        <v>-12.9678489826252</v>
      </c>
      <c r="K24" s="17" t="n">
        <f aca="false">-K23*(1-K8)</f>
        <v>-13.6017515057456</v>
      </c>
      <c r="L24" s="17" t="n">
        <f aca="false">-L23*(1-L8)</f>
        <v>-14.2293150036348</v>
      </c>
    </row>
    <row r="25" customFormat="false" ht="15" hidden="false" customHeight="false" outlineLevel="0" collapsed="false">
      <c r="A25" s="45" t="s">
        <v>204</v>
      </c>
      <c r="B25" s="46" t="n">
        <f aca="false">Inputs!B34</f>
        <v>48.7</v>
      </c>
      <c r="C25" s="47" t="n">
        <f aca="false">C23+C24</f>
        <v>52.5604945469239</v>
      </c>
      <c r="D25" s="47" t="n">
        <f aca="false">D23+D24</f>
        <v>64.1968566113372</v>
      </c>
      <c r="E25" s="47" t="n">
        <f aca="false">E23+E24</f>
        <v>68.9847974706221</v>
      </c>
      <c r="F25" s="47" t="n">
        <f aca="false">F23+F24</f>
        <v>73.7248589213142</v>
      </c>
      <c r="G25" s="47" t="n">
        <f aca="false">G23+G24</f>
        <v>78.4175197574994</v>
      </c>
      <c r="H25" s="47" t="n">
        <f aca="false">H23+H24</f>
        <v>83.0632539853227</v>
      </c>
      <c r="I25" s="47" t="n">
        <f aca="false">I23+I24</f>
        <v>87.6625308708677</v>
      </c>
      <c r="J25" s="47" t="n">
        <f aca="false">J23+J24</f>
        <v>92.2158149875574</v>
      </c>
      <c r="K25" s="47" t="n">
        <f aca="false">K23+K24</f>
        <v>96.7235662630801</v>
      </c>
      <c r="L25" s="47" t="n">
        <f aca="false">L23+L24</f>
        <v>101.186240025848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12" min="3" style="0" width="11"/>
  </cols>
  <sheetData>
    <row r="1" customFormat="false" ht="17.35" hidden="false" customHeight="false" outlineLevel="0" collapsed="false">
      <c r="A1" s="5" t="s">
        <v>205</v>
      </c>
    </row>
    <row r="3" customFormat="false" ht="15" hidden="false" customHeight="false" outlineLevel="0" collapsed="false">
      <c r="A3" s="41" t="s">
        <v>185</v>
      </c>
      <c r="B3" s="50"/>
      <c r="C3" s="42" t="n">
        <f aca="false">'ARR Model'!C2</f>
        <v>1</v>
      </c>
      <c r="D3" s="42" t="n">
        <f aca="false">'ARR Model'!D2</f>
        <v>2</v>
      </c>
      <c r="E3" s="42" t="n">
        <f aca="false">'ARR Model'!E2</f>
        <v>3</v>
      </c>
      <c r="F3" s="42" t="n">
        <f aca="false">'ARR Model'!F2</f>
        <v>4</v>
      </c>
      <c r="G3" s="42" t="n">
        <f aca="false">'ARR Model'!G2</f>
        <v>5</v>
      </c>
      <c r="H3" s="42" t="n">
        <f aca="false">'ARR Model'!H2</f>
        <v>6</v>
      </c>
      <c r="I3" s="42" t="n">
        <f aca="false">'ARR Model'!I2</f>
        <v>7</v>
      </c>
      <c r="J3" s="42" t="n">
        <f aca="false">'ARR Model'!J2</f>
        <v>8</v>
      </c>
      <c r="K3" s="42" t="n">
        <f aca="false">'ARR Model'!K2</f>
        <v>9</v>
      </c>
      <c r="L3" s="42" t="n">
        <f aca="false">'ARR Model'!L2</f>
        <v>10</v>
      </c>
    </row>
    <row r="4" customFormat="false" ht="15" hidden="false" customHeight="false" outlineLevel="0" collapsed="false">
      <c r="A4" s="9" t="s">
        <v>206</v>
      </c>
      <c r="C4" s="35" t="n">
        <f aca="false">'ARR Model'!C25</f>
        <v>52.5604945469239</v>
      </c>
      <c r="D4" s="35" t="n">
        <f aca="false">'ARR Model'!D25</f>
        <v>64.1968566113372</v>
      </c>
      <c r="E4" s="35" t="n">
        <f aca="false">'ARR Model'!E25</f>
        <v>68.9847974706221</v>
      </c>
      <c r="F4" s="35" t="n">
        <f aca="false">'ARR Model'!F25</f>
        <v>73.7248589213142</v>
      </c>
      <c r="G4" s="35" t="n">
        <f aca="false">'ARR Model'!G25</f>
        <v>78.4175197574994</v>
      </c>
      <c r="H4" s="35" t="n">
        <f aca="false">'ARR Model'!H25</f>
        <v>83.0632539853227</v>
      </c>
      <c r="I4" s="35" t="n">
        <f aca="false">'ARR Model'!I25</f>
        <v>87.6625308708677</v>
      </c>
      <c r="J4" s="35" t="n">
        <f aca="false">'ARR Model'!J25</f>
        <v>92.2158149875574</v>
      </c>
      <c r="K4" s="35" t="n">
        <f aca="false">'ARR Model'!K25</f>
        <v>96.7235662630801</v>
      </c>
      <c r="L4" s="35" t="n">
        <f aca="false">'ARR Model'!L25</f>
        <v>101.186240025848</v>
      </c>
    </row>
    <row r="5" customFormat="false" ht="15" hidden="false" customHeight="false" outlineLevel="0" collapsed="false">
      <c r="A5" s="9" t="s">
        <v>207</v>
      </c>
      <c r="C5" s="21" t="n">
        <f aca="false">1/(1+Assumptions!$C$10)^C3</f>
        <v>0.909090909090909</v>
      </c>
      <c r="D5" s="21" t="n">
        <f aca="false">1/(1+Assumptions!$C$10)^D3</f>
        <v>0.826446280991735</v>
      </c>
      <c r="E5" s="21" t="n">
        <f aca="false">1/(1+Assumptions!$C$10)^E3</f>
        <v>0.751314800901578</v>
      </c>
      <c r="F5" s="21" t="n">
        <f aca="false">1/(1+Assumptions!$C$10)^F3</f>
        <v>0.683013455365071</v>
      </c>
      <c r="G5" s="21" t="n">
        <f aca="false">1/(1+Assumptions!$C$10)^G3</f>
        <v>0.620921323059155</v>
      </c>
      <c r="H5" s="21" t="n">
        <f aca="false">1/(1+Assumptions!$C$10)^H3</f>
        <v>0.564473930053777</v>
      </c>
      <c r="I5" s="21" t="n">
        <f aca="false">1/(1+Assumptions!$C$10)^I3</f>
        <v>0.513158118230707</v>
      </c>
      <c r="J5" s="21" t="n">
        <f aca="false">1/(1+Assumptions!$C$10)^J3</f>
        <v>0.466507380209733</v>
      </c>
      <c r="K5" s="21" t="n">
        <f aca="false">1/(1+Assumptions!$C$10)^K3</f>
        <v>0.424097618372485</v>
      </c>
      <c r="L5" s="21" t="n">
        <f aca="false">1/(1+Assumptions!$C$10)^L3</f>
        <v>0.385543289429531</v>
      </c>
    </row>
    <row r="6" customFormat="false" ht="15" hidden="false" customHeight="false" outlineLevel="0" collapsed="false">
      <c r="A6" s="9" t="s">
        <v>208</v>
      </c>
      <c r="C6" s="17" t="n">
        <f aca="false">C4*C5</f>
        <v>47.7822677699308</v>
      </c>
      <c r="D6" s="17" t="n">
        <f aca="false">D4*D5</f>
        <v>53.0552533977993</v>
      </c>
      <c r="E6" s="17" t="n">
        <f aca="false">E4*E5</f>
        <v>51.8292993768761</v>
      </c>
      <c r="F6" s="17" t="n">
        <f aca="false">F4*F5</f>
        <v>50.3550706381492</v>
      </c>
      <c r="G6" s="17" t="n">
        <f aca="false">G4*G5</f>
        <v>48.6911101188439</v>
      </c>
      <c r="H6" s="17" t="n">
        <f aca="false">H4*H5</f>
        <v>46.8870414201502</v>
      </c>
      <c r="I6" s="17" t="n">
        <f aca="false">I4*I5</f>
        <v>44.9847393810357</v>
      </c>
      <c r="J6" s="17" t="n">
        <f aca="false">J4*J5</f>
        <v>43.0193582637508</v>
      </c>
      <c r="K6" s="17" t="n">
        <f aca="false">K4*K5</f>
        <v>41.0202340926655</v>
      </c>
      <c r="L6" s="17" t="n">
        <f aca="false">L4*L5</f>
        <v>39.0116758245714</v>
      </c>
    </row>
    <row r="8" customFormat="false" ht="15" hidden="false" customHeight="false" outlineLevel="0" collapsed="false">
      <c r="A8" s="9" t="s">
        <v>209</v>
      </c>
      <c r="C8" s="17" t="n">
        <f aca="false">SUM(C6:L6)</f>
        <v>466.636050283773</v>
      </c>
      <c r="D8" s="6"/>
    </row>
    <row r="9" customFormat="false" ht="15" hidden="false" customHeight="false" outlineLevel="0" collapsed="false">
      <c r="A9" s="9" t="s">
        <v>210</v>
      </c>
      <c r="C9" s="17" t="n">
        <f aca="false">L4*(1+Assumptions!C11)/(Assumptions!C10-Assumptions!C11)</f>
        <v>1382.87861368658</v>
      </c>
      <c r="D9" s="6" t="s">
        <v>211</v>
      </c>
    </row>
    <row r="10" customFormat="false" ht="15" hidden="false" customHeight="false" outlineLevel="0" collapsed="false">
      <c r="A10" s="9" t="s">
        <v>212</v>
      </c>
      <c r="C10" s="17" t="n">
        <f aca="false">C9*L5</f>
        <v>533.159569602476</v>
      </c>
      <c r="D10" s="6"/>
    </row>
    <row r="11" customFormat="false" ht="15" hidden="false" customHeight="false" outlineLevel="0" collapsed="false">
      <c r="A11" s="32" t="s">
        <v>213</v>
      </c>
      <c r="C11" s="47" t="n">
        <f aca="false">C8+C10</f>
        <v>999.795619886249</v>
      </c>
      <c r="D11" s="6"/>
    </row>
    <row r="12" customFormat="false" ht="15" hidden="false" customHeight="false" outlineLevel="0" collapsed="false">
      <c r="A12" s="9" t="s">
        <v>214</v>
      </c>
      <c r="C12" s="35" t="n">
        <f aca="false">Inputs!B13</f>
        <v>43.2167</v>
      </c>
      <c r="D12" s="6"/>
    </row>
    <row r="13" customFormat="false" ht="15" hidden="false" customHeight="false" outlineLevel="0" collapsed="false">
      <c r="A13" s="9" t="s">
        <v>215</v>
      </c>
      <c r="C13" s="17" t="n">
        <f aca="false">-Inputs!B14</f>
        <v>-88</v>
      </c>
      <c r="D13" s="6"/>
    </row>
    <row r="14" customFormat="false" ht="15" hidden="false" customHeight="false" outlineLevel="0" collapsed="false">
      <c r="A14" s="32" t="s">
        <v>216</v>
      </c>
      <c r="C14" s="47" t="n">
        <f aca="false">SUM(C11:C13)</f>
        <v>955.012319886248</v>
      </c>
      <c r="D14" s="6"/>
    </row>
    <row r="15" customFormat="false" ht="15" hidden="false" customHeight="false" outlineLevel="0" collapsed="false">
      <c r="A15" s="9" t="s">
        <v>217</v>
      </c>
      <c r="C15" s="51" t="n">
        <f aca="false">Inputs!B9</f>
        <v>24.9607535321821</v>
      </c>
      <c r="D15" s="6"/>
    </row>
    <row r="16" customFormat="false" ht="15" hidden="false" customHeight="false" outlineLevel="0" collapsed="false">
      <c r="A16" s="9" t="s">
        <v>218</v>
      </c>
      <c r="C16" s="30" t="n">
        <f aca="false">C14/C15</f>
        <v>38.2605564633673</v>
      </c>
      <c r="D16" s="6"/>
    </row>
    <row r="17" customFormat="false" ht="15" hidden="false" customHeight="false" outlineLevel="0" collapsed="false">
      <c r="A17" s="9" t="s">
        <v>219</v>
      </c>
      <c r="C17" s="52" t="n">
        <f aca="false">Inputs!B6</f>
        <v>1.3991</v>
      </c>
      <c r="D17" s="6"/>
    </row>
    <row r="18" customFormat="false" ht="15" hidden="false" customHeight="false" outlineLevel="0" collapsed="false">
      <c r="A18" s="32" t="s">
        <v>220</v>
      </c>
      <c r="C18" s="53" t="n">
        <f aca="false">C16*C17</f>
        <v>53.5303445478972</v>
      </c>
      <c r="D18" s="6" t="s">
        <v>221</v>
      </c>
    </row>
    <row r="19" customFormat="false" ht="15" hidden="false" customHeight="false" outlineLevel="0" collapsed="false">
      <c r="A19" s="9" t="s">
        <v>126</v>
      </c>
      <c r="C19" s="24" t="n">
        <f aca="false">Inputs!B5</f>
        <v>33.22</v>
      </c>
      <c r="D19" s="6"/>
    </row>
    <row r="20" customFormat="false" ht="15" hidden="false" customHeight="false" outlineLevel="0" collapsed="false">
      <c r="A20" s="9" t="s">
        <v>222</v>
      </c>
      <c r="C20" s="20" t="n">
        <f aca="false">C18/C19-1</f>
        <v>0.611389059238326</v>
      </c>
      <c r="D20" s="6"/>
    </row>
    <row r="21" customFormat="false" ht="15" hidden="false" customHeight="false" outlineLevel="0" collapsed="false">
      <c r="A21" s="9" t="s">
        <v>223</v>
      </c>
      <c r="C21" s="20" t="n">
        <f aca="false">C10/C11</f>
        <v>0.533268559091243</v>
      </c>
      <c r="D21" s="6"/>
    </row>
    <row r="22" customFormat="false" ht="15" hidden="false" customHeight="false" outlineLevel="0" collapsed="false">
      <c r="A22" s="32" t="s">
        <v>224</v>
      </c>
      <c r="C22" s="53" t="n">
        <f aca="false">C18</f>
        <v>53.5303445478972</v>
      </c>
      <c r="D22" s="6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22" min="7" style="0" width="9"/>
  </cols>
  <sheetData>
    <row r="1" customFormat="false" ht="17.35" hidden="false" customHeight="false" outlineLevel="0" collapsed="false">
      <c r="A1" s="5" t="s">
        <v>226</v>
      </c>
    </row>
    <row r="2" customFormat="false" ht="15" hidden="false" customHeight="false" outlineLevel="0" collapsed="false">
      <c r="A2" s="6" t="s">
        <v>227</v>
      </c>
    </row>
    <row r="3" customFormat="false" ht="15" hidden="false" customHeight="false" outlineLevel="0" collapsed="false">
      <c r="A3" s="9" t="s">
        <v>228</v>
      </c>
      <c r="B3" s="54" t="n">
        <f aca="false">Inputs!B5</f>
        <v>33.22</v>
      </c>
    </row>
    <row r="5" customFormat="false" ht="15" hidden="false" customHeight="false" outlineLevel="0" collapsed="false">
      <c r="A5" s="41" t="s">
        <v>229</v>
      </c>
      <c r="B5" s="55" t="n">
        <v>0.08</v>
      </c>
      <c r="C5" s="55" t="n">
        <v>0.09</v>
      </c>
      <c r="D5" s="55" t="n">
        <v>0.1</v>
      </c>
      <c r="E5" s="55" t="n">
        <v>0.11</v>
      </c>
      <c r="F5" s="55" t="n">
        <v>0.12</v>
      </c>
    </row>
    <row r="6" customFormat="false" ht="15" hidden="false" customHeight="false" outlineLevel="0" collapsed="false">
      <c r="A6" s="56" t="n">
        <v>0.8</v>
      </c>
      <c r="B6" s="57" t="n">
        <f aca="false">(SUMPRODUCT($M22:$V22,'ARR Model'!$C$9:$L$9,1/(1+B$5)^'ARR Model'!$C$2:$L$2)+$V22*'ARR Model'!$L$9*(1+Assumptions!$C$11)/(B$5-Assumptions!$C$11)/(1+B$5)^10+Inputs!$B$13-Inputs!$B$14)/Inputs!$B$9*Inputs!$B$6</f>
        <v>27.3560380490029</v>
      </c>
      <c r="C6" s="57" t="n">
        <f aca="false">(SUMPRODUCT($M22:$V22,'ARR Model'!$C$9:$L$9,1/(1+C$5)^'ARR Model'!$C$2:$L$2)+$V22*'ARR Model'!$L$9*(1+Assumptions!$C$11)/(C$5-Assumptions!$C$11)/(1+C$5)^10+Inputs!$B$13-Inputs!$B$14)/Inputs!$B$9*Inputs!$B$6</f>
        <v>23.3637132774523</v>
      </c>
      <c r="D6" s="57" t="n">
        <f aca="false">(SUMPRODUCT($M22:$V22,'ARR Model'!$C$9:$L$9,1/(1+D$5)^'ARR Model'!$C$2:$L$2)+$V22*'ARR Model'!$L$9*(1+Assumptions!$C$11)/(D$5-Assumptions!$C$11)/(1+D$5)^10+Inputs!$B$13-Inputs!$B$14)/Inputs!$B$9*Inputs!$B$6</f>
        <v>20.4069767542951</v>
      </c>
      <c r="E6" s="57" t="n">
        <f aca="false">(SUMPRODUCT($M22:$V22,'ARR Model'!$C$9:$L$9,1/(1+E$5)^'ARR Model'!$C$2:$L$2)+$V22*'ARR Model'!$L$9*(1+Assumptions!$C$11)/(E$5-Assumptions!$C$11)/(1+E$5)^10+Inputs!$B$13-Inputs!$B$14)/Inputs!$B$9*Inputs!$B$6</f>
        <v>18.1221325152012</v>
      </c>
      <c r="F6" s="57" t="n">
        <f aca="false">(SUMPRODUCT($M22:$V22,'ARR Model'!$C$9:$L$9,1/(1+F$5)^'ARR Model'!$C$2:$L$2)+$V22*'ARR Model'!$L$9*(1+Assumptions!$C$11)/(F$5-Assumptions!$C$11)/(1+F$5)^10+Inputs!$B$13-Inputs!$B$14)/Inputs!$B$9*Inputs!$B$6</f>
        <v>16.2984852904484</v>
      </c>
    </row>
    <row r="7" customFormat="false" ht="15" hidden="false" customHeight="false" outlineLevel="0" collapsed="false">
      <c r="A7" s="56" t="n">
        <v>0.85</v>
      </c>
      <c r="B7" s="57" t="n">
        <f aca="false">(SUMPRODUCT($M23:$V23,'ARR Model'!$C$9:$L$9,1/(1+B$5)^'ARR Model'!$C$2:$L$2)+$V23*'ARR Model'!$L$9*(1+Assumptions!$C$11)/(B$5-Assumptions!$C$11)/(1+B$5)^10+Inputs!$B$13-Inputs!$B$14)/Inputs!$B$9*Inputs!$B$6</f>
        <v>34.687052715896</v>
      </c>
      <c r="C7" s="57" t="n">
        <f aca="false">(SUMPRODUCT($M23:$V23,'ARR Model'!$C$9:$L$9,1/(1+C$5)^'ARR Model'!$C$2:$L$2)+$V23*'ARR Model'!$L$9*(1+Assumptions!$C$11)/(C$5-Assumptions!$C$11)/(1+C$5)^10+Inputs!$B$13-Inputs!$B$14)/Inputs!$B$9*Inputs!$B$6</f>
        <v>29.4654437386444</v>
      </c>
      <c r="D7" s="57" t="n">
        <f aca="false">(SUMPRODUCT($M23:$V23,'ARR Model'!$C$9:$L$9,1/(1+D$5)^'ARR Model'!$C$2:$L$2)+$V23*'ARR Model'!$L$9*(1+Assumptions!$C$11)/(D$5-Assumptions!$C$11)/(1+D$5)^10+Inputs!$B$13-Inputs!$B$14)/Inputs!$B$9*Inputs!$B$6</f>
        <v>25.6102724613303</v>
      </c>
      <c r="E7" s="57" t="n">
        <f aca="false">(SUMPRODUCT($M23:$V23,'ARR Model'!$C$9:$L$9,1/(1+E$5)^'ARR Model'!$C$2:$L$2)+$V23*'ARR Model'!$L$9*(1+Assumptions!$C$11)/(E$5-Assumptions!$C$11)/(1+E$5)^10+Inputs!$B$13-Inputs!$B$14)/Inputs!$B$9*Inputs!$B$6</f>
        <v>22.6409508293632</v>
      </c>
      <c r="F7" s="57" t="n">
        <f aca="false">(SUMPRODUCT($M23:$V23,'ARR Model'!$C$9:$L$9,1/(1+F$5)^'ARR Model'!$C$2:$L$2)+$V23*'ARR Model'!$L$9*(1+Assumptions!$C$11)/(F$5-Assumptions!$C$11)/(1+F$5)^10+Inputs!$B$13-Inputs!$B$14)/Inputs!$B$9*Inputs!$B$6</f>
        <v>20.2791149214128</v>
      </c>
    </row>
    <row r="8" customFormat="false" ht="15" hidden="false" customHeight="false" outlineLevel="0" collapsed="false">
      <c r="A8" s="56" t="n">
        <v>0.9</v>
      </c>
      <c r="B8" s="57" t="n">
        <f aca="false">(SUMPRODUCT($M24:$V24,'ARR Model'!$C$9:$L$9,1/(1+B$5)^'ARR Model'!$C$2:$L$2)+$V24*'ARR Model'!$L$9*(1+Assumptions!$C$11)/(B$5-Assumptions!$C$11)/(1+B$5)^10+Inputs!$B$13-Inputs!$B$14)/Inputs!$B$9*Inputs!$B$6</f>
        <v>44.9688142923667</v>
      </c>
      <c r="C8" s="57" t="n">
        <f aca="false">(SUMPRODUCT($M24:$V24,'ARR Model'!$C$9:$L$9,1/(1+C$5)^'ARR Model'!$C$2:$L$2)+$V24*'ARR Model'!$L$9*(1+Assumptions!$C$11)/(C$5-Assumptions!$C$11)/(1+C$5)^10+Inputs!$B$13-Inputs!$B$14)/Inputs!$B$9*Inputs!$B$6</f>
        <v>37.9517058388853</v>
      </c>
      <c r="D8" s="57" t="n">
        <f aca="false">(SUMPRODUCT($M24:$V24,'ARR Model'!$C$9:$L$9,1/(1+D$5)^'ARR Model'!$C$2:$L$2)+$V24*'ARR Model'!$L$9*(1+Assumptions!$C$11)/(D$5-Assumptions!$C$11)/(1+D$5)^10+Inputs!$B$13-Inputs!$B$14)/Inputs!$B$9*Inputs!$B$6</f>
        <v>32.7889248849421</v>
      </c>
      <c r="E8" s="57" t="n">
        <f aca="false">(SUMPRODUCT($M24:$V24,'ARR Model'!$C$9:$L$9,1/(1+E$5)^'ARR Model'!$C$2:$L$2)+$V24*'ARR Model'!$L$9*(1+Assumptions!$C$11)/(E$5-Assumptions!$C$11)/(1+E$5)^10+Inputs!$B$13-Inputs!$B$14)/Inputs!$B$9*Inputs!$B$6</f>
        <v>28.8271618692568</v>
      </c>
      <c r="F8" s="57" t="n">
        <f aca="false">(SUMPRODUCT($M24:$V24,'ARR Model'!$C$9:$L$9,1/(1+F$5)^'ARR Model'!$C$2:$L$2)+$V24*'ARR Model'!$L$9*(1+Assumptions!$C$11)/(F$5-Assumptions!$C$11)/(1+F$5)^10+Inputs!$B$13-Inputs!$B$14)/Inputs!$B$9*Inputs!$B$6</f>
        <v>25.688093336869</v>
      </c>
    </row>
    <row r="9" customFormat="false" ht="15" hidden="false" customHeight="false" outlineLevel="0" collapsed="false">
      <c r="A9" s="56" t="n">
        <v>0.95</v>
      </c>
      <c r="B9" s="57" t="n">
        <f aca="false">(SUMPRODUCT($M25:$V25,'ARR Model'!$C$9:$L$9,1/(1+B$5)^'ARR Model'!$C$2:$L$2)+$V25*'ARR Model'!$L$9*(1+Assumptions!$C$11)/(B$5-Assumptions!$C$11)/(1+B$5)^10+Inputs!$B$13-Inputs!$B$14)/Inputs!$B$9*Inputs!$B$6</f>
        <v>59.4755575560729</v>
      </c>
      <c r="C9" s="57" t="n">
        <f aca="false">(SUMPRODUCT($M25:$V25,'ARR Model'!$C$9:$L$9,1/(1+C$5)^'ARR Model'!$C$2:$L$2)+$V25*'ARR Model'!$L$9*(1+Assumptions!$C$11)/(C$5-Assumptions!$C$11)/(1+C$5)^10+Inputs!$B$13-Inputs!$B$14)/Inputs!$B$9*Inputs!$B$6</f>
        <v>49.8366621455735</v>
      </c>
      <c r="D9" s="57" t="n">
        <f aca="false">(SUMPRODUCT($M25:$V25,'ARR Model'!$C$9:$L$9,1/(1+D$5)^'ARR Model'!$C$2:$L$2)+$V25*'ARR Model'!$L$9*(1+Assumptions!$C$11)/(D$5-Assumptions!$C$11)/(1+D$5)^10+Inputs!$B$13-Inputs!$B$14)/Inputs!$B$9*Inputs!$B$6</f>
        <v>42.7703770744472</v>
      </c>
      <c r="E9" s="57" t="n">
        <f aca="false">(SUMPRODUCT($M25:$V25,'ARR Model'!$C$9:$L$9,1/(1+E$5)^'ARR Model'!$C$2:$L$2)+$V25*'ARR Model'!$L$9*(1+Assumptions!$C$11)/(E$5-Assumptions!$C$11)/(1+E$5)^10+Inputs!$B$13-Inputs!$B$14)/Inputs!$B$9*Inputs!$B$6</f>
        <v>37.3686598798431</v>
      </c>
      <c r="F9" s="57" t="n">
        <f aca="false">(SUMPRODUCT($M25:$V25,'ARR Model'!$C$9:$L$9,1/(1+F$5)^'ARR Model'!$C$2:$L$2)+$V25*'ARR Model'!$L$9*(1+Assumptions!$C$11)/(F$5-Assumptions!$C$11)/(1+F$5)^10+Inputs!$B$13-Inputs!$B$14)/Inputs!$B$9*Inputs!$B$6</f>
        <v>33.1058030139617</v>
      </c>
    </row>
    <row r="10" customFormat="false" ht="15" hidden="false" customHeight="false" outlineLevel="0" collapsed="false">
      <c r="A10" s="56" t="n">
        <v>0.99</v>
      </c>
      <c r="B10" s="57" t="n">
        <f aca="false">(SUMPRODUCT($M26:$V26,'ARR Model'!$C$9:$L$9,1/(1+B$5)^'ARR Model'!$C$2:$L$2)+$V26*'ARR Model'!$L$9*(1+Assumptions!$C$11)/(B$5-Assumptions!$C$11)/(1+B$5)^10+Inputs!$B$13-Inputs!$B$14)/Inputs!$B$9*Inputs!$B$6</f>
        <v>75.2934429385194</v>
      </c>
      <c r="C10" s="57" t="n">
        <f aca="false">(SUMPRODUCT($M26:$V26,'ARR Model'!$C$9:$L$9,1/(1+C$5)^'ARR Model'!$C$2:$L$2)+$V26*'ARR Model'!$L$9*(1+Assumptions!$C$11)/(C$5-Assumptions!$C$11)/(1+C$5)^10+Inputs!$B$13-Inputs!$B$14)/Inputs!$B$9*Inputs!$B$6</f>
        <v>62.7212687758698</v>
      </c>
      <c r="D10" s="57" t="n">
        <f aca="false">(SUMPRODUCT($M26:$V26,'ARR Model'!$C$9:$L$9,1/(1+D$5)^'ARR Model'!$C$2:$L$2)+$V26*'ARR Model'!$L$9*(1+Assumptions!$C$11)/(D$5-Assumptions!$C$11)/(1+D$5)^10+Inputs!$B$13-Inputs!$B$14)/Inputs!$B$9*Inputs!$B$6</f>
        <v>53.5303445478972</v>
      </c>
      <c r="E10" s="57" t="n">
        <f aca="false">(SUMPRODUCT($M26:$V26,'ARR Model'!$C$9:$L$9,1/(1+E$5)^'ARR Model'!$C$2:$L$2)+$V26*'ARR Model'!$L$9*(1+Assumptions!$C$11)/(E$5-Assumptions!$C$11)/(1+E$5)^10+Inputs!$B$13-Inputs!$B$14)/Inputs!$B$9*Inputs!$B$6</f>
        <v>46.5254585759573</v>
      </c>
      <c r="F10" s="57" t="n">
        <f aca="false">(SUMPRODUCT($M26:$V26,'ARR Model'!$C$9:$L$9,1/(1+F$5)^'ARR Model'!$C$2:$L$2)+$V26*'ARR Model'!$L$9*(1+Assumptions!$C$11)/(F$5-Assumptions!$C$11)/(1+F$5)^10+Inputs!$B$13-Inputs!$B$14)/Inputs!$B$9*Inputs!$B$6</f>
        <v>41.0147860913791</v>
      </c>
    </row>
    <row r="11" customFormat="false" ht="15" hidden="false" customHeight="false" outlineLevel="0" collapsed="false">
      <c r="A11" s="56" t="n">
        <v>1.01</v>
      </c>
      <c r="B11" s="57" t="n">
        <f aca="false">(SUMPRODUCT($M27:$V27,'ARR Model'!$C$9:$L$9,1/(1+B$5)^'ARR Model'!$C$2:$L$2)+$V27*'ARR Model'!$L$9*(1+Assumptions!$C$11)/(B$5-Assumptions!$C$11)/(1+B$5)^10+Inputs!$B$13-Inputs!$B$14)/Inputs!$B$9*Inputs!$B$6</f>
        <v>85.0010215142485</v>
      </c>
      <c r="C11" s="57" t="n">
        <f aca="false">(SUMPRODUCT($M27:$V27,'ARR Model'!$C$9:$L$9,1/(1+C$5)^'ARR Model'!$C$2:$L$2)+$V27*'ARR Model'!$L$9*(1+Assumptions!$C$11)/(C$5-Assumptions!$C$11)/(1+C$5)^10+Inputs!$B$13-Inputs!$B$14)/Inputs!$B$9*Inputs!$B$6</f>
        <v>70.6019149167564</v>
      </c>
      <c r="D11" s="57" t="n">
        <f aca="false">(SUMPRODUCT($M27:$V27,'ARR Model'!$C$9:$L$9,1/(1+D$5)^'ARR Model'!$C$2:$L$2)+$V27*'ARR Model'!$L$9*(1+Assumptions!$C$11)/(D$5-Assumptions!$C$11)/(1+D$5)^10+Inputs!$B$13-Inputs!$B$14)/Inputs!$B$9*Inputs!$B$6</f>
        <v>60.0895229247927</v>
      </c>
      <c r="E11" s="57" t="n">
        <f aca="false">(SUMPRODUCT($M27:$V27,'ARR Model'!$C$9:$L$9,1/(1+E$5)^'ARR Model'!$C$2:$L$2)+$V27*'ARR Model'!$L$9*(1+Assumptions!$C$11)/(E$5-Assumptions!$C$11)/(1+E$5)^10+Inputs!$B$13-Inputs!$B$14)/Inputs!$B$9*Inputs!$B$6</f>
        <v>52.0889856181295</v>
      </c>
      <c r="F11" s="57" t="n">
        <f aca="false">(SUMPRODUCT($M27:$V27,'ARR Model'!$C$9:$L$9,1/(1+F$5)^'ARR Model'!$C$2:$L$2)+$V27*'ARR Model'!$L$9*(1+Assumptions!$C$11)/(F$5-Assumptions!$C$11)/(1+F$5)^10+Inputs!$B$13-Inputs!$B$14)/Inputs!$B$9*Inputs!$B$6</f>
        <v>45.8045707661846</v>
      </c>
    </row>
    <row r="12" customFormat="false" ht="15" hidden="false" customHeight="false" outlineLevel="0" collapsed="false">
      <c r="A12" s="56" t="n">
        <v>1.05</v>
      </c>
      <c r="B12" s="57" t="n">
        <f aca="false">(SUMPRODUCT($M28:$V28,'ARR Model'!$C$9:$L$9,1/(1+B$5)^'ARR Model'!$C$2:$L$2)+$V28*'ARR Model'!$L$9*(1+Assumptions!$C$11)/(B$5-Assumptions!$C$11)/(1+B$5)^10+Inputs!$B$13-Inputs!$B$14)/Inputs!$B$9*Inputs!$B$6</f>
        <v>108.917303300867</v>
      </c>
      <c r="C12" s="57" t="n">
        <f aca="false">(SUMPRODUCT($M28:$V28,'ARR Model'!$C$9:$L$9,1/(1+C$5)^'ARR Model'!$C$2:$L$2)+$V28*'ARR Model'!$L$9*(1+Assumptions!$C$11)/(C$5-Assumptions!$C$11)/(1+C$5)^10+Inputs!$B$13-Inputs!$B$14)/Inputs!$B$9*Inputs!$B$6</f>
        <v>89.9556785702653</v>
      </c>
      <c r="D12" s="57" t="n">
        <f aca="false">(SUMPRODUCT($M28:$V28,'ARR Model'!$C$9:$L$9,1/(1+D$5)^'ARR Model'!$C$2:$L$2)+$V28*'ARR Model'!$L$9*(1+Assumptions!$C$11)/(D$5-Assumptions!$C$11)/(1+D$5)^10+Inputs!$B$13-Inputs!$B$14)/Inputs!$B$9*Inputs!$B$6</f>
        <v>76.147353172697</v>
      </c>
      <c r="E12" s="57" t="n">
        <f aca="false">(SUMPRODUCT($M28:$V28,'ARR Model'!$C$9:$L$9,1/(1+E$5)^'ARR Model'!$C$2:$L$2)+$V28*'ARR Model'!$L$9*(1+Assumptions!$C$11)/(E$5-Assumptions!$C$11)/(1+E$5)^10+Inputs!$B$13-Inputs!$B$14)/Inputs!$B$9*Inputs!$B$6</f>
        <v>65.666965096248</v>
      </c>
      <c r="F12" s="57" t="n">
        <f aca="false">(SUMPRODUCT($M28:$V28,'ARR Model'!$C$9:$L$9,1/(1+F$5)^'ARR Model'!$C$2:$L$2)+$V28*'ARR Model'!$L$9*(1+Assumptions!$C$11)/(F$5-Assumptions!$C$11)/(1+F$5)^10+Inputs!$B$13-Inputs!$B$14)/Inputs!$B$9*Inputs!$B$6</f>
        <v>57.4582448509143</v>
      </c>
    </row>
    <row r="14" customFormat="false" ht="15" hidden="false" customHeight="false" outlineLevel="0" collapsed="false">
      <c r="A14" s="6" t="s">
        <v>230</v>
      </c>
    </row>
    <row r="20" customFormat="false" ht="15" hidden="false" customHeight="false" outlineLevel="0" collapsed="false">
      <c r="A20" s="32" t="s">
        <v>231</v>
      </c>
    </row>
    <row r="21" customFormat="false" ht="15" hidden="false" customHeight="false" outlineLevel="0" collapsed="false">
      <c r="A21" s="7" t="s">
        <v>137</v>
      </c>
      <c r="B21" s="8" t="s">
        <v>138</v>
      </c>
      <c r="C21" s="8" t="s">
        <v>139</v>
      </c>
      <c r="D21" s="8" t="s">
        <v>140</v>
      </c>
      <c r="E21" s="8" t="s">
        <v>141</v>
      </c>
      <c r="F21" s="8" t="s">
        <v>142</v>
      </c>
      <c r="G21" s="8" t="s">
        <v>143</v>
      </c>
      <c r="H21" s="8" t="s">
        <v>144</v>
      </c>
      <c r="I21" s="8" t="s">
        <v>145</v>
      </c>
      <c r="J21" s="8" t="s">
        <v>146</v>
      </c>
      <c r="K21" s="8" t="s">
        <v>147</v>
      </c>
      <c r="L21" s="8" t="s">
        <v>148</v>
      </c>
      <c r="M21" s="8" t="s">
        <v>232</v>
      </c>
      <c r="N21" s="8" t="s">
        <v>233</v>
      </c>
      <c r="O21" s="8" t="s">
        <v>234</v>
      </c>
      <c r="P21" s="8" t="s">
        <v>235</v>
      </c>
      <c r="Q21" s="8" t="s">
        <v>236</v>
      </c>
      <c r="R21" s="8" t="s">
        <v>237</v>
      </c>
      <c r="S21" s="8" t="s">
        <v>238</v>
      </c>
      <c r="T21" s="8" t="s">
        <v>239</v>
      </c>
      <c r="U21" s="8" t="s">
        <v>240</v>
      </c>
      <c r="V21" s="8" t="s">
        <v>241</v>
      </c>
    </row>
    <row r="22" customFormat="false" ht="15" hidden="false" customHeight="false" outlineLevel="0" collapsed="false">
      <c r="A22" s="20" t="n">
        <f aca="false">A6</f>
        <v>0.8</v>
      </c>
      <c r="B22" s="33" t="n">
        <f aca="false">'ARR Model'!$B$15</f>
        <v>255.1</v>
      </c>
      <c r="C22" s="34" t="n">
        <f aca="false">B22*$A22+'ARR Model'!C$13</f>
        <v>228.411</v>
      </c>
      <c r="D22" s="34" t="n">
        <f aca="false">C22*$A22+'ARR Model'!D$13</f>
        <v>207.0598</v>
      </c>
      <c r="E22" s="34" t="n">
        <f aca="false">D22*$A22+'ARR Model'!E$13</f>
        <v>189.97884</v>
      </c>
      <c r="F22" s="34" t="n">
        <f aca="false">E22*$A22+'ARR Model'!F$13</f>
        <v>176.314072</v>
      </c>
      <c r="G22" s="34" t="n">
        <f aca="false">F22*$A22+'ARR Model'!G$13</f>
        <v>165.3822576</v>
      </c>
      <c r="H22" s="34" t="n">
        <f aca="false">G22*$A22+'ARR Model'!H$13</f>
        <v>156.63680608</v>
      </c>
      <c r="I22" s="34" t="n">
        <f aca="false">H22*$A22+'ARR Model'!I$13</f>
        <v>149.640444864</v>
      </c>
      <c r="J22" s="34" t="n">
        <f aca="false">I22*$A22+'ARR Model'!J$13</f>
        <v>144.0433558912</v>
      </c>
      <c r="K22" s="34" t="n">
        <f aca="false">J22*$A22+'ARR Model'!K$13</f>
        <v>139.56568471296</v>
      </c>
      <c r="L22" s="34" t="n">
        <f aca="false">K22*$A22+'ARR Model'!L$13</f>
        <v>135.983547770368</v>
      </c>
      <c r="M22" s="34" t="n">
        <f aca="false">AVERAGE(B22,C22)*Inputs!$B$44</f>
        <v>256.413350880787</v>
      </c>
      <c r="N22" s="34" t="n">
        <f aca="false">AVERAGE(C22,D22)*Inputs!$B$44</f>
        <v>230.9368908644</v>
      </c>
      <c r="O22" s="34" t="n">
        <f aca="false">AVERAGE(D22,E22)*Inputs!$B$44</f>
        <v>210.55572285129</v>
      </c>
      <c r="P22" s="34" t="n">
        <f aca="false">AVERAGE(E22,F22)*Inputs!$B$44</f>
        <v>194.250788440803</v>
      </c>
      <c r="Q22" s="34" t="n">
        <f aca="false">AVERAGE(F22,G22)*Inputs!$B$44</f>
        <v>181.206840912413</v>
      </c>
      <c r="R22" s="34" t="n">
        <f aca="false">AVERAGE(G22,H22)*Inputs!$B$44</f>
        <v>170.771682889701</v>
      </c>
      <c r="S22" s="34" t="n">
        <f aca="false">AVERAGE(H22,I22)*Inputs!$B$44</f>
        <v>162.423556471531</v>
      </c>
      <c r="T22" s="34" t="n">
        <f aca="false">AVERAGE(I22,J22)*Inputs!$B$44</f>
        <v>155.745055336996</v>
      </c>
      <c r="U22" s="34" t="n">
        <f aca="false">AVERAGE(J22,K22)*Inputs!$B$44</f>
        <v>150.402254429367</v>
      </c>
      <c r="V22" s="34" t="n">
        <f aca="false">AVERAGE(K22,L22)*Inputs!$B$44</f>
        <v>146.128013703264</v>
      </c>
    </row>
    <row r="23" customFormat="false" ht="15" hidden="false" customHeight="false" outlineLevel="0" collapsed="false">
      <c r="A23" s="20" t="n">
        <f aca="false">A7</f>
        <v>0.85</v>
      </c>
      <c r="B23" s="33" t="n">
        <f aca="false">'ARR Model'!$B$15</f>
        <v>255.1</v>
      </c>
      <c r="C23" s="34" t="n">
        <f aca="false">B23*$A23+'ARR Model'!C$13</f>
        <v>241.166</v>
      </c>
      <c r="D23" s="34" t="n">
        <f aca="false">C23*$A23+'ARR Model'!D$13</f>
        <v>229.3221</v>
      </c>
      <c r="E23" s="34" t="n">
        <f aca="false">D23*$A23+'ARR Model'!E$13</f>
        <v>219.254785</v>
      </c>
      <c r="F23" s="34" t="n">
        <f aca="false">E23*$A23+'ARR Model'!F$13</f>
        <v>210.69756725</v>
      </c>
      <c r="G23" s="34" t="n">
        <f aca="false">F23*$A23+'ARR Model'!G$13</f>
        <v>203.4239321625</v>
      </c>
      <c r="H23" s="34" t="n">
        <f aca="false">G23*$A23+'ARR Model'!H$13</f>
        <v>197.241342338125</v>
      </c>
      <c r="I23" s="34" t="n">
        <f aca="false">H23*$A23+'ARR Model'!I$13</f>
        <v>191.986140987406</v>
      </c>
      <c r="J23" s="34" t="n">
        <f aca="false">I23*$A23+'ARR Model'!J$13</f>
        <v>187.519219839295</v>
      </c>
      <c r="K23" s="34" t="n">
        <f aca="false">J23*$A23+'ARR Model'!K$13</f>
        <v>183.722336863401</v>
      </c>
      <c r="L23" s="34" t="n">
        <f aca="false">K23*$A23+'ARR Model'!L$13</f>
        <v>180.494986333891</v>
      </c>
      <c r="M23" s="34" t="n">
        <f aca="false">AVERAGE(B23,C23)*Inputs!$B$44</f>
        <v>263.177524375256</v>
      </c>
      <c r="N23" s="34" t="n">
        <f aca="false">AVERAGE(C23,D23)*Inputs!$B$44</f>
        <v>249.507105878738</v>
      </c>
      <c r="O23" s="34" t="n">
        <f aca="false">AVERAGE(D23,E23)*Inputs!$B$44</f>
        <v>237.887250156698</v>
      </c>
      <c r="P23" s="34" t="n">
        <f aca="false">AVERAGE(E23,F23)*Inputs!$B$44</f>
        <v>228.010372792964</v>
      </c>
      <c r="Q23" s="34" t="n">
        <f aca="false">AVERAGE(F23,G23)*Inputs!$B$44</f>
        <v>219.61502703379</v>
      </c>
      <c r="R23" s="34" t="n">
        <f aca="false">AVERAGE(G23,H23)*Inputs!$B$44</f>
        <v>212.478983138492</v>
      </c>
      <c r="S23" s="34" t="n">
        <f aca="false">AVERAGE(H23,I23)*Inputs!$B$44</f>
        <v>206.413345827489</v>
      </c>
      <c r="T23" s="34" t="n">
        <f aca="false">AVERAGE(I23,J23)*Inputs!$B$44</f>
        <v>201.257554113136</v>
      </c>
      <c r="U23" s="34" t="n">
        <f aca="false">AVERAGE(J23,K23)*Inputs!$B$44</f>
        <v>196.875131155936</v>
      </c>
      <c r="V23" s="34" t="n">
        <f aca="false">AVERAGE(K23,L23)*Inputs!$B$44</f>
        <v>193.150071642316</v>
      </c>
    </row>
    <row r="24" customFormat="false" ht="15" hidden="false" customHeight="false" outlineLevel="0" collapsed="false">
      <c r="A24" s="20" t="n">
        <f aca="false">A8</f>
        <v>0.9</v>
      </c>
      <c r="B24" s="33" t="n">
        <f aca="false">'ARR Model'!$B$15</f>
        <v>255.1</v>
      </c>
      <c r="C24" s="34" t="n">
        <f aca="false">B24*$A24+'ARR Model'!C$13</f>
        <v>253.921</v>
      </c>
      <c r="D24" s="34" t="n">
        <f aca="false">C24*$A24+'ARR Model'!D$13</f>
        <v>252.8599</v>
      </c>
      <c r="E24" s="34" t="n">
        <f aca="false">D24*$A24+'ARR Model'!E$13</f>
        <v>251.90491</v>
      </c>
      <c r="F24" s="34" t="n">
        <f aca="false">E24*$A24+'ARR Model'!F$13</f>
        <v>251.045419</v>
      </c>
      <c r="G24" s="34" t="n">
        <f aca="false">F24*$A24+'ARR Model'!G$13</f>
        <v>250.2718771</v>
      </c>
      <c r="H24" s="34" t="n">
        <f aca="false">G24*$A24+'ARR Model'!H$13</f>
        <v>249.57568939</v>
      </c>
      <c r="I24" s="34" t="n">
        <f aca="false">H24*$A24+'ARR Model'!I$13</f>
        <v>248.949120451</v>
      </c>
      <c r="J24" s="34" t="n">
        <f aca="false">I24*$A24+'ARR Model'!J$13</f>
        <v>248.3852084059</v>
      </c>
      <c r="K24" s="34" t="n">
        <f aca="false">J24*$A24+'ARR Model'!K$13</f>
        <v>247.87768756531</v>
      </c>
      <c r="L24" s="34" t="n">
        <f aca="false">K24*$A24+'ARR Model'!L$13</f>
        <v>247.420918808779</v>
      </c>
      <c r="M24" s="34" t="n">
        <f aca="false">AVERAGE(B24,C24)*Inputs!$B$44</f>
        <v>269.941697869726</v>
      </c>
      <c r="N24" s="34" t="n">
        <f aca="false">AVERAGE(C24,D24)*Inputs!$B$44</f>
        <v>268.753738242524</v>
      </c>
      <c r="O24" s="34" t="n">
        <f aca="false">AVERAGE(D24,E24)*Inputs!$B$44</f>
        <v>267.684574578042</v>
      </c>
      <c r="P24" s="34" t="n">
        <f aca="false">AVERAGE(E24,F24)*Inputs!$B$44</f>
        <v>266.722327280008</v>
      </c>
      <c r="Q24" s="34" t="n">
        <f aca="false">AVERAGE(F24,G24)*Inputs!$B$44</f>
        <v>265.856304711778</v>
      </c>
      <c r="R24" s="34" t="n">
        <f aca="false">AVERAGE(G24,H24)*Inputs!$B$44</f>
        <v>265.076884400371</v>
      </c>
      <c r="S24" s="34" t="n">
        <f aca="false">AVERAGE(H24,I24)*Inputs!$B$44</f>
        <v>264.375406120104</v>
      </c>
      <c r="T24" s="34" t="n">
        <f aca="false">AVERAGE(I24,J24)*Inputs!$B$44</f>
        <v>263.744075667864</v>
      </c>
      <c r="U24" s="34" t="n">
        <f aca="false">AVERAGE(J24,K24)*Inputs!$B$44</f>
        <v>263.175878260849</v>
      </c>
      <c r="V24" s="34" t="n">
        <f aca="false">AVERAGE(K24,L24)*Inputs!$B$44</f>
        <v>262.664500594534</v>
      </c>
    </row>
    <row r="25" customFormat="false" ht="15" hidden="false" customHeight="false" outlineLevel="0" collapsed="false">
      <c r="A25" s="20" t="n">
        <f aca="false">A9</f>
        <v>0.95</v>
      </c>
      <c r="B25" s="33" t="n">
        <f aca="false">'ARR Model'!$B$15</f>
        <v>255.1</v>
      </c>
      <c r="C25" s="34" t="n">
        <f aca="false">B25*$A25+'ARR Model'!C$13</f>
        <v>266.676</v>
      </c>
      <c r="D25" s="34" t="n">
        <f aca="false">C25*$A25+'ARR Model'!D$13</f>
        <v>277.6732</v>
      </c>
      <c r="E25" s="34" t="n">
        <f aca="false">D25*$A25+'ARR Model'!E$13</f>
        <v>288.12054</v>
      </c>
      <c r="F25" s="34" t="n">
        <f aca="false">E25*$A25+'ARR Model'!F$13</f>
        <v>298.045513</v>
      </c>
      <c r="G25" s="34" t="n">
        <f aca="false">F25*$A25+'ARR Model'!G$13</f>
        <v>307.47423735</v>
      </c>
      <c r="H25" s="34" t="n">
        <f aca="false">G25*$A25+'ARR Model'!H$13</f>
        <v>316.4315254825</v>
      </c>
      <c r="I25" s="34" t="n">
        <f aca="false">H25*$A25+'ARR Model'!I$13</f>
        <v>324.940949208375</v>
      </c>
      <c r="J25" s="34" t="n">
        <f aca="false">I25*$A25+'ARR Model'!J$13</f>
        <v>333.024901747956</v>
      </c>
      <c r="K25" s="34" t="n">
        <f aca="false">J25*$A25+'ARR Model'!K$13</f>
        <v>340.704656660558</v>
      </c>
      <c r="L25" s="34" t="n">
        <f aca="false">K25*$A25+'ARR Model'!L$13</f>
        <v>348.000423827531</v>
      </c>
      <c r="M25" s="34" t="n">
        <f aca="false">AVERAGE(B25,C25)*Inputs!$B$44</f>
        <v>276.705871364195</v>
      </c>
      <c r="N25" s="34" t="n">
        <f aca="false">AVERAGE(C25,D25)*Inputs!$B$44</f>
        <v>288.676787955756</v>
      </c>
      <c r="O25" s="34" t="n">
        <f aca="false">AVERAGE(D25,E25)*Inputs!$B$44</f>
        <v>300.049158717739</v>
      </c>
      <c r="P25" s="34" t="n">
        <f aca="false">AVERAGE(E25,F25)*Inputs!$B$44</f>
        <v>310.852910941622</v>
      </c>
      <c r="Q25" s="34" t="n">
        <f aca="false">AVERAGE(F25,G25)*Inputs!$B$44</f>
        <v>321.116475554312</v>
      </c>
      <c r="R25" s="34" t="n">
        <f aca="false">AVERAGE(G25,H25)*Inputs!$B$44</f>
        <v>330.866861936367</v>
      </c>
      <c r="S25" s="34" t="n">
        <f aca="false">AVERAGE(H25,I25)*Inputs!$B$44</f>
        <v>340.129728999319</v>
      </c>
      <c r="T25" s="34" t="n">
        <f aca="false">AVERAGE(I25,J25)*Inputs!$B$44</f>
        <v>348.929452709124</v>
      </c>
      <c r="U25" s="34" t="n">
        <f aca="false">AVERAGE(J25,K25)*Inputs!$B$44</f>
        <v>357.289190233438</v>
      </c>
      <c r="V25" s="34" t="n">
        <f aca="false">AVERAGE(K25,L25)*Inputs!$B$44</f>
        <v>365.230940881537</v>
      </c>
    </row>
    <row r="26" customFormat="false" ht="15" hidden="false" customHeight="false" outlineLevel="0" collapsed="false">
      <c r="A26" s="20" t="n">
        <f aca="false">A10</f>
        <v>0.99</v>
      </c>
      <c r="B26" s="33" t="n">
        <f aca="false">'ARR Model'!$B$15</f>
        <v>255.1</v>
      </c>
      <c r="C26" s="34" t="n">
        <f aca="false">B26*$A26+'ARR Model'!C$13</f>
        <v>276.88</v>
      </c>
      <c r="D26" s="34" t="n">
        <f aca="false">C26*$A26+'ARR Model'!D$13</f>
        <v>298.4422</v>
      </c>
      <c r="E26" s="34" t="n">
        <f aca="false">D26*$A26+'ARR Model'!E$13</f>
        <v>319.788778</v>
      </c>
      <c r="F26" s="34" t="n">
        <f aca="false">E26*$A26+'ARR Model'!F$13</f>
        <v>340.92189022</v>
      </c>
      <c r="G26" s="34" t="n">
        <f aca="false">F26*$A26+'ARR Model'!G$13</f>
        <v>361.8436713178</v>
      </c>
      <c r="H26" s="34" t="n">
        <f aca="false">G26*$A26+'ARR Model'!H$13</f>
        <v>382.556234604622</v>
      </c>
      <c r="I26" s="34" t="n">
        <f aca="false">H26*$A26+'ARR Model'!I$13</f>
        <v>403.061672258576</v>
      </c>
      <c r="J26" s="34" t="n">
        <f aca="false">I26*$A26+'ARR Model'!J$13</f>
        <v>423.36205553599</v>
      </c>
      <c r="K26" s="34" t="n">
        <f aca="false">J26*$A26+'ARR Model'!K$13</f>
        <v>443.45943498063</v>
      </c>
      <c r="L26" s="34" t="n">
        <f aca="false">K26*$A26+'ARR Model'!L$13</f>
        <v>463.355840630824</v>
      </c>
      <c r="M26" s="34" t="n">
        <f aca="false">AVERAGE(B26,C26)*Inputs!$B$44</f>
        <v>282.117210159771</v>
      </c>
      <c r="N26" s="34" t="n">
        <f aca="false">AVERAGE(C26,D26)*Inputs!$B$44</f>
        <v>305.102248217944</v>
      </c>
      <c r="O26" s="34" t="n">
        <f aca="false">AVERAGE(D26,E26)*Inputs!$B$44</f>
        <v>327.857435895535</v>
      </c>
      <c r="P26" s="34" t="n">
        <f aca="false">AVERAGE(E26,F26)*Inputs!$B$44</f>
        <v>350.38507169635</v>
      </c>
      <c r="Q26" s="34" t="n">
        <f aca="false">AVERAGE(F26,G26)*Inputs!$B$44</f>
        <v>372.687431139157</v>
      </c>
      <c r="R26" s="34" t="n">
        <f aca="false">AVERAGE(G26,H26)*Inputs!$B$44</f>
        <v>394.766766987536</v>
      </c>
      <c r="S26" s="34" t="n">
        <f aca="false">AVERAGE(H26,I26)*Inputs!$B$44</f>
        <v>416.625309477431</v>
      </c>
      <c r="T26" s="34" t="n">
        <f aca="false">AVERAGE(I26,J26)*Inputs!$B$44</f>
        <v>438.265266542427</v>
      </c>
      <c r="U26" s="34" t="n">
        <f aca="false">AVERAGE(J26,K26)*Inputs!$B$44</f>
        <v>459.688824036774</v>
      </c>
      <c r="V26" s="34" t="n">
        <f aca="false">AVERAGE(K26,L26)*Inputs!$B$44</f>
        <v>480.898145956177</v>
      </c>
    </row>
    <row r="27" customFormat="false" ht="15" hidden="false" customHeight="false" outlineLevel="0" collapsed="false">
      <c r="A27" s="20" t="n">
        <f aca="false">A11</f>
        <v>1.01</v>
      </c>
      <c r="B27" s="33" t="n">
        <f aca="false">'ARR Model'!$B$15</f>
        <v>255.1</v>
      </c>
      <c r="C27" s="34" t="n">
        <f aca="false">B27*$A27+'ARR Model'!C$13</f>
        <v>281.982</v>
      </c>
      <c r="D27" s="34" t="n">
        <f aca="false">C27*$A27+'ARR Model'!D$13</f>
        <v>309.13282</v>
      </c>
      <c r="E27" s="34" t="n">
        <f aca="false">D27*$A27+'ARR Model'!E$13</f>
        <v>336.5551482</v>
      </c>
      <c r="F27" s="34" t="n">
        <f aca="false">E27*$A27+'ARR Model'!F$13</f>
        <v>364.251699682</v>
      </c>
      <c r="G27" s="34" t="n">
        <f aca="false">F27*$A27+'ARR Model'!G$13</f>
        <v>392.22521667882</v>
      </c>
      <c r="H27" s="34" t="n">
        <f aca="false">G27*$A27+'ARR Model'!H$13</f>
        <v>420.478468845608</v>
      </c>
      <c r="I27" s="34" t="n">
        <f aca="false">H27*$A27+'ARR Model'!I$13</f>
        <v>449.014253534064</v>
      </c>
      <c r="J27" s="34" t="n">
        <f aca="false">I27*$A27+'ARR Model'!J$13</f>
        <v>477.835396069405</v>
      </c>
      <c r="K27" s="34" t="n">
        <f aca="false">J27*$A27+'ARR Model'!K$13</f>
        <v>506.944750030099</v>
      </c>
      <c r="L27" s="34" t="n">
        <f aca="false">K27*$A27+'ARR Model'!L$13</f>
        <v>536.3451975304</v>
      </c>
      <c r="M27" s="34" t="n">
        <f aca="false">AVERAGE(B27,C27)*Inputs!$B$44</f>
        <v>284.822879557558</v>
      </c>
      <c r="N27" s="34" t="n">
        <f aca="false">AVERAGE(C27,D27)*Inputs!$B$44</f>
        <v>313.477318512905</v>
      </c>
      <c r="O27" s="34" t="n">
        <f aca="false">AVERAGE(D27,E27)*Inputs!$B$44</f>
        <v>342.418301857804</v>
      </c>
      <c r="P27" s="34" t="n">
        <f aca="false">AVERAGE(E27,F27)*Inputs!$B$44</f>
        <v>371.648695036153</v>
      </c>
      <c r="Q27" s="34" t="n">
        <f aca="false">AVERAGE(F27,G27)*Inputs!$B$44</f>
        <v>401.171392146285</v>
      </c>
      <c r="R27" s="34" t="n">
        <f aca="false">AVERAGE(G27,H27)*Inputs!$B$44</f>
        <v>430.989316227519</v>
      </c>
      <c r="S27" s="34" t="n">
        <f aca="false">AVERAGE(H27,I27)*Inputs!$B$44</f>
        <v>461.105419549564</v>
      </c>
      <c r="T27" s="34" t="n">
        <f aca="false">AVERAGE(I27,J27)*Inputs!$B$44</f>
        <v>491.522683904831</v>
      </c>
      <c r="U27" s="34" t="n">
        <f aca="false">AVERAGE(J27,K27)*Inputs!$B$44</f>
        <v>522.244120903649</v>
      </c>
      <c r="V27" s="34" t="n">
        <f aca="false">AVERAGE(K27,L27)*Inputs!$B$44</f>
        <v>553.272772272457</v>
      </c>
    </row>
    <row r="28" customFormat="false" ht="15" hidden="false" customHeight="false" outlineLevel="0" collapsed="false">
      <c r="A28" s="20" t="n">
        <f aca="false">A12</f>
        <v>1.05</v>
      </c>
      <c r="B28" s="33" t="n">
        <f aca="false">'ARR Model'!$B$15</f>
        <v>255.1</v>
      </c>
      <c r="C28" s="34" t="n">
        <f aca="false">B28*$A28+'ARR Model'!C$13</f>
        <v>292.186</v>
      </c>
      <c r="D28" s="34" t="n">
        <f aca="false">C28*$A28+'ARR Model'!D$13</f>
        <v>331.1263</v>
      </c>
      <c r="E28" s="34" t="n">
        <f aca="false">D28*$A28+'ARR Model'!E$13</f>
        <v>372.013615</v>
      </c>
      <c r="F28" s="34" t="n">
        <f aca="false">E28*$A28+'ARR Model'!F$13</f>
        <v>414.94529575</v>
      </c>
      <c r="G28" s="34" t="n">
        <f aca="false">F28*$A28+'ARR Model'!G$13</f>
        <v>460.0235605375</v>
      </c>
      <c r="H28" s="34" t="n">
        <f aca="false">G28*$A28+'ARR Model'!H$13</f>
        <v>507.355738564375</v>
      </c>
      <c r="I28" s="34" t="n">
        <f aca="false">H28*$A28+'ARR Model'!I$13</f>
        <v>557.054525492594</v>
      </c>
      <c r="J28" s="34" t="n">
        <f aca="false">I28*$A28+'ARR Model'!J$13</f>
        <v>609.238251767224</v>
      </c>
      <c r="K28" s="34" t="n">
        <f aca="false">J28*$A28+'ARR Model'!K$13</f>
        <v>664.031164355585</v>
      </c>
      <c r="L28" s="34" t="n">
        <f aca="false">K28*$A28+'ARR Model'!L$13</f>
        <v>721.563722573364</v>
      </c>
      <c r="M28" s="34" t="n">
        <f aca="false">AVERAGE(B28,C28)*Inputs!$B$44</f>
        <v>290.234218353134</v>
      </c>
      <c r="N28" s="34" t="n">
        <f aca="false">AVERAGE(C28,D28)*Inputs!$B$44</f>
        <v>330.552139430561</v>
      </c>
      <c r="O28" s="34" t="n">
        <f aca="false">AVERAGE(D28,E28)*Inputs!$B$44</f>
        <v>372.88595656186</v>
      </c>
      <c r="P28" s="34" t="n">
        <f aca="false">AVERAGE(E28,F28)*Inputs!$B$44</f>
        <v>417.336464549724</v>
      </c>
      <c r="Q28" s="34" t="n">
        <f aca="false">AVERAGE(F28,G28)*Inputs!$B$44</f>
        <v>464.00949793698</v>
      </c>
      <c r="R28" s="34" t="n">
        <f aca="false">AVERAGE(G28,H28)*Inputs!$B$44</f>
        <v>513.0161829936</v>
      </c>
      <c r="S28" s="34" t="n">
        <f aca="false">AVERAGE(H28,I28)*Inputs!$B$44</f>
        <v>564.473202303051</v>
      </c>
      <c r="T28" s="34" t="n">
        <f aca="false">AVERAGE(I28,J28)*Inputs!$B$44</f>
        <v>618.503072577974</v>
      </c>
      <c r="U28" s="34" t="n">
        <f aca="false">AVERAGE(J28,K28)*Inputs!$B$44</f>
        <v>675.234436366643</v>
      </c>
      <c r="V28" s="34" t="n">
        <f aca="false">AVERAGE(K28,L28)*Inputs!$B$44</f>
        <v>734.802368344746</v>
      </c>
    </row>
  </sheetData>
  <conditionalFormatting sqref="B6:F12">
    <cfRule type="cellIs" priority="2" operator="greaterThanOrEqual" aboveAverage="0" equalAverage="0" bottom="0" percent="0" rank="0" text="" dxfId="0">
      <formula>$B$3</formula>
    </cfRule>
    <cfRule type="cellIs" priority="3" operator="lessThan" aboveAverage="0" equalAverage="0" bottom="0" percent="0" rank="0" text="" dxfId="1">
      <formula>$B$3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5" t="s">
        <v>242</v>
      </c>
    </row>
    <row r="2" customFormat="false" ht="15" hidden="false" customHeight="false" outlineLevel="0" collapsed="false">
      <c r="A2" s="6" t="s">
        <v>243</v>
      </c>
    </row>
    <row r="4" customFormat="false" ht="15" hidden="false" customHeight="false" outlineLevel="0" collapsed="false">
      <c r="A4" s="7" t="s">
        <v>244</v>
      </c>
      <c r="B4" s="8" t="s">
        <v>245</v>
      </c>
      <c r="C4" s="8" t="s">
        <v>246</v>
      </c>
      <c r="D4" s="8" t="s">
        <v>37</v>
      </c>
    </row>
    <row r="5" customFormat="false" ht="48" hidden="false" customHeight="true" outlineLevel="0" collapsed="false">
      <c r="A5" s="9" t="n">
        <v>1</v>
      </c>
      <c r="B5" s="4" t="s">
        <v>247</v>
      </c>
      <c r="C5" s="3" t="s">
        <v>248</v>
      </c>
      <c r="D5" s="58" t="s">
        <v>249</v>
      </c>
    </row>
    <row r="6" customFormat="false" ht="48" hidden="false" customHeight="true" outlineLevel="0" collapsed="false">
      <c r="A6" s="9" t="n">
        <v>2</v>
      </c>
      <c r="B6" s="4" t="s">
        <v>250</v>
      </c>
      <c r="C6" s="3" t="s">
        <v>251</v>
      </c>
      <c r="D6" s="58" t="s">
        <v>252</v>
      </c>
    </row>
    <row r="7" customFormat="false" ht="48" hidden="false" customHeight="true" outlineLevel="0" collapsed="false">
      <c r="A7" s="9" t="n">
        <v>3</v>
      </c>
      <c r="B7" s="4" t="s">
        <v>253</v>
      </c>
      <c r="C7" s="3" t="s">
        <v>254</v>
      </c>
      <c r="D7" s="58" t="s">
        <v>255</v>
      </c>
    </row>
    <row r="8" customFormat="false" ht="48" hidden="false" customHeight="true" outlineLevel="0" collapsed="false">
      <c r="A8" s="9" t="n">
        <v>4</v>
      </c>
      <c r="B8" s="4" t="s">
        <v>256</v>
      </c>
      <c r="C8" s="3" t="s">
        <v>257</v>
      </c>
      <c r="D8" s="58" t="s">
        <v>258</v>
      </c>
    </row>
    <row r="9" customFormat="false" ht="48" hidden="false" customHeight="true" outlineLevel="0" collapsed="false">
      <c r="A9" s="9" t="n">
        <v>5</v>
      </c>
      <c r="B9" s="4" t="s">
        <v>259</v>
      </c>
      <c r="C9" s="3" t="s">
        <v>260</v>
      </c>
      <c r="D9" s="58" t="s">
        <v>261</v>
      </c>
    </row>
    <row r="10" customFormat="false" ht="48" hidden="false" customHeight="true" outlineLevel="0" collapsed="false">
      <c r="A10" s="9" t="n">
        <v>6</v>
      </c>
      <c r="B10" s="4" t="s">
        <v>262</v>
      </c>
      <c r="C10" s="3" t="s">
        <v>263</v>
      </c>
      <c r="D10" s="58" t="s">
        <v>264</v>
      </c>
    </row>
    <row r="11" customFormat="false" ht="48" hidden="false" customHeight="true" outlineLevel="0" collapsed="false">
      <c r="A11" s="9" t="n">
        <v>7</v>
      </c>
      <c r="B11" s="4" t="s">
        <v>265</v>
      </c>
      <c r="C11" s="3" t="s">
        <v>266</v>
      </c>
      <c r="D11" s="58" t="s">
        <v>267</v>
      </c>
    </row>
    <row r="12" customFormat="false" ht="48" hidden="false" customHeight="true" outlineLevel="0" collapsed="false">
      <c r="A12" s="9" t="n">
        <v>8</v>
      </c>
      <c r="B12" s="4" t="s">
        <v>268</v>
      </c>
      <c r="C12" s="3" t="s">
        <v>269</v>
      </c>
      <c r="D12" s="58" t="s">
        <v>270</v>
      </c>
    </row>
    <row r="13" customFormat="false" ht="48" hidden="false" customHeight="true" outlineLevel="0" collapsed="false">
      <c r="A13" s="9" t="n">
        <v>9</v>
      </c>
      <c r="B13" s="4" t="s">
        <v>271</v>
      </c>
      <c r="C13" s="3" t="s">
        <v>272</v>
      </c>
      <c r="D13" s="58" t="s">
        <v>273</v>
      </c>
    </row>
    <row r="14" customFormat="false" ht="48" hidden="false" customHeight="true" outlineLevel="0" collapsed="false">
      <c r="A14" s="9" t="n">
        <v>10</v>
      </c>
      <c r="B14" s="4" t="s">
        <v>274</v>
      </c>
      <c r="C14" s="3" t="s">
        <v>275</v>
      </c>
      <c r="D14" s="58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5" t="s">
        <v>277</v>
      </c>
    </row>
    <row r="2" customFormat="false" ht="15" hidden="false" customHeight="false" outlineLevel="0" collapsed="false">
      <c r="A2" s="6" t="s">
        <v>278</v>
      </c>
    </row>
    <row r="4" customFormat="false" ht="15" hidden="false" customHeight="false" outlineLevel="0" collapsed="false">
      <c r="A4" s="7" t="s">
        <v>279</v>
      </c>
      <c r="B4" s="8" t="s">
        <v>34</v>
      </c>
      <c r="C4" s="8" t="s">
        <v>280</v>
      </c>
      <c r="D4" s="8" t="s">
        <v>281</v>
      </c>
      <c r="E4" s="8" t="s">
        <v>282</v>
      </c>
    </row>
    <row r="5" customFormat="false" ht="15" hidden="false" customHeight="false" outlineLevel="0" collapsed="false">
      <c r="A5" s="9" t="s">
        <v>283</v>
      </c>
      <c r="B5" s="18" t="n">
        <v>214.1</v>
      </c>
      <c r="C5" s="9" t="s">
        <v>284</v>
      </c>
      <c r="D5" s="9" t="s">
        <v>285</v>
      </c>
      <c r="E5" s="59" t="s">
        <v>286</v>
      </c>
    </row>
    <row r="6" customFormat="false" ht="15" hidden="false" customHeight="false" outlineLevel="0" collapsed="false">
      <c r="A6" s="9" t="s">
        <v>287</v>
      </c>
      <c r="B6" s="18" t="n">
        <v>219.7</v>
      </c>
      <c r="C6" s="9" t="s">
        <v>288</v>
      </c>
      <c r="D6" s="9" t="s">
        <v>289</v>
      </c>
      <c r="E6" s="59" t="s">
        <v>290</v>
      </c>
    </row>
    <row r="7" customFormat="false" ht="15" hidden="false" customHeight="false" outlineLevel="0" collapsed="false">
      <c r="A7" s="9" t="s">
        <v>291</v>
      </c>
      <c r="B7" s="18" t="n">
        <v>225.1</v>
      </c>
      <c r="C7" s="9" t="s">
        <v>292</v>
      </c>
      <c r="D7" s="9" t="s">
        <v>293</v>
      </c>
      <c r="E7" s="59" t="s">
        <v>294</v>
      </c>
    </row>
    <row r="8" customFormat="false" ht="15" hidden="false" customHeight="false" outlineLevel="0" collapsed="false">
      <c r="A8" s="9" t="s">
        <v>295</v>
      </c>
      <c r="B8" s="18" t="n">
        <v>233.1</v>
      </c>
      <c r="C8" s="9" t="s">
        <v>296</v>
      </c>
      <c r="D8" s="9" t="s">
        <v>297</v>
      </c>
      <c r="E8" s="59" t="s">
        <v>298</v>
      </c>
    </row>
    <row r="9" customFormat="false" ht="15" hidden="false" customHeight="false" outlineLevel="0" collapsed="false">
      <c r="A9" s="9" t="s">
        <v>299</v>
      </c>
      <c r="B9" s="18" t="n">
        <v>235.6</v>
      </c>
      <c r="C9" s="9" t="s">
        <v>300</v>
      </c>
      <c r="D9" s="9" t="s">
        <v>301</v>
      </c>
      <c r="E9" s="59" t="s">
        <v>302</v>
      </c>
    </row>
    <row r="10" customFormat="false" ht="15" hidden="false" customHeight="false" outlineLevel="0" collapsed="false">
      <c r="A10" s="9" t="s">
        <v>303</v>
      </c>
      <c r="B10" s="18" t="n">
        <v>238.1</v>
      </c>
      <c r="C10" s="9" t="s">
        <v>304</v>
      </c>
      <c r="D10" s="9" t="s">
        <v>305</v>
      </c>
      <c r="E10" s="59" t="s">
        <v>306</v>
      </c>
    </row>
    <row r="11" customFormat="false" ht="15" hidden="false" customHeight="false" outlineLevel="0" collapsed="false">
      <c r="A11" s="9" t="s">
        <v>307</v>
      </c>
      <c r="B11" s="18" t="n">
        <v>248.9</v>
      </c>
      <c r="C11" s="9" t="s">
        <v>308</v>
      </c>
      <c r="D11" s="9" t="s">
        <v>309</v>
      </c>
      <c r="E11" s="59" t="s">
        <v>310</v>
      </c>
    </row>
    <row r="12" customFormat="false" ht="15" hidden="false" customHeight="false" outlineLevel="0" collapsed="false">
      <c r="A12" s="9" t="s">
        <v>311</v>
      </c>
      <c r="B12" s="18" t="n">
        <v>255.1</v>
      </c>
      <c r="C12" s="9" t="s">
        <v>312</v>
      </c>
      <c r="D12" s="9" t="s">
        <v>313</v>
      </c>
      <c r="E12" s="59" t="s">
        <v>314</v>
      </c>
    </row>
    <row r="13" customFormat="false" ht="15" hidden="false" customHeight="false" outlineLevel="0" collapsed="false">
      <c r="A13" s="9" t="s">
        <v>315</v>
      </c>
      <c r="B13" s="18" t="n">
        <v>55.4</v>
      </c>
      <c r="C13" s="9" t="s">
        <v>316</v>
      </c>
      <c r="D13" s="9" t="s">
        <v>285</v>
      </c>
      <c r="E13" s="59" t="s">
        <v>286</v>
      </c>
    </row>
    <row r="14" customFormat="false" ht="15" hidden="false" customHeight="false" outlineLevel="0" collapsed="false">
      <c r="A14" s="9" t="s">
        <v>317</v>
      </c>
      <c r="B14" s="18" t="n">
        <v>57</v>
      </c>
      <c r="C14" s="9" t="s">
        <v>318</v>
      </c>
      <c r="D14" s="9" t="s">
        <v>289</v>
      </c>
      <c r="E14" s="59" t="s">
        <v>290</v>
      </c>
    </row>
    <row r="15" customFormat="false" ht="15" hidden="false" customHeight="false" outlineLevel="0" collapsed="false">
      <c r="A15" s="9" t="s">
        <v>319</v>
      </c>
      <c r="B15" s="18" t="n">
        <v>57.3</v>
      </c>
      <c r="C15" s="9" t="s">
        <v>320</v>
      </c>
      <c r="D15" s="9" t="s">
        <v>293</v>
      </c>
      <c r="E15" s="59" t="s">
        <v>294</v>
      </c>
    </row>
    <row r="16" customFormat="false" ht="15" hidden="false" customHeight="false" outlineLevel="0" collapsed="false">
      <c r="A16" s="9" t="s">
        <v>321</v>
      </c>
      <c r="B16" s="18" t="n">
        <v>60.7</v>
      </c>
      <c r="C16" s="9" t="s">
        <v>322</v>
      </c>
      <c r="D16" s="9" t="s">
        <v>297</v>
      </c>
      <c r="E16" s="59" t="s">
        <v>298</v>
      </c>
    </row>
    <row r="17" customFormat="false" ht="15" hidden="false" customHeight="false" outlineLevel="0" collapsed="false">
      <c r="A17" s="9" t="s">
        <v>323</v>
      </c>
      <c r="B17" s="18" t="n">
        <v>61.6</v>
      </c>
      <c r="C17" s="9" t="s">
        <v>324</v>
      </c>
      <c r="D17" s="9" t="s">
        <v>301</v>
      </c>
      <c r="E17" s="59" t="s">
        <v>302</v>
      </c>
    </row>
    <row r="18" customFormat="false" ht="15" hidden="false" customHeight="false" outlineLevel="0" collapsed="false">
      <c r="A18" s="9" t="s">
        <v>325</v>
      </c>
      <c r="B18" s="18" t="n">
        <v>63</v>
      </c>
      <c r="C18" s="9" t="s">
        <v>326</v>
      </c>
      <c r="D18" s="9" t="s">
        <v>305</v>
      </c>
      <c r="E18" s="59" t="s">
        <v>306</v>
      </c>
    </row>
    <row r="19" customFormat="false" ht="15" hidden="false" customHeight="false" outlineLevel="0" collapsed="false">
      <c r="A19" s="9" t="s">
        <v>327</v>
      </c>
      <c r="B19" s="18" t="n">
        <v>65.6</v>
      </c>
      <c r="C19" s="9" t="s">
        <v>328</v>
      </c>
      <c r="D19" s="9" t="s">
        <v>309</v>
      </c>
      <c r="E19" s="59" t="s">
        <v>310</v>
      </c>
    </row>
    <row r="20" customFormat="false" ht="15" hidden="false" customHeight="false" outlineLevel="0" collapsed="false">
      <c r="A20" s="9" t="s">
        <v>329</v>
      </c>
      <c r="B20" s="18" t="n">
        <v>68.7</v>
      </c>
      <c r="C20" s="9" t="s">
        <v>330</v>
      </c>
      <c r="D20" s="9" t="s">
        <v>313</v>
      </c>
      <c r="E20" s="59" t="s">
        <v>314</v>
      </c>
    </row>
    <row r="21" customFormat="false" ht="15" hidden="false" customHeight="false" outlineLevel="0" collapsed="false">
      <c r="A21" s="9" t="s">
        <v>331</v>
      </c>
      <c r="B21" s="18" t="n">
        <v>8.7</v>
      </c>
      <c r="C21" s="9" t="s">
        <v>332</v>
      </c>
      <c r="D21" s="9" t="s">
        <v>333</v>
      </c>
      <c r="E21" s="59" t="s">
        <v>302</v>
      </c>
    </row>
    <row r="22" customFormat="false" ht="15" hidden="false" customHeight="false" outlineLevel="0" collapsed="false">
      <c r="A22" s="9" t="s">
        <v>334</v>
      </c>
      <c r="B22" s="18" t="n">
        <v>9.5</v>
      </c>
      <c r="C22" s="9" t="s">
        <v>335</v>
      </c>
      <c r="D22" s="9" t="s">
        <v>336</v>
      </c>
      <c r="E22" s="59" t="s">
        <v>306</v>
      </c>
    </row>
    <row r="23" customFormat="false" ht="15" hidden="false" customHeight="false" outlineLevel="0" collapsed="false">
      <c r="A23" s="9" t="s">
        <v>337</v>
      </c>
      <c r="B23" s="18" t="n">
        <v>8.9</v>
      </c>
      <c r="C23" s="9" t="s">
        <v>338</v>
      </c>
      <c r="D23" s="9" t="s">
        <v>293</v>
      </c>
      <c r="E23" s="59" t="s">
        <v>294</v>
      </c>
    </row>
    <row r="24" customFormat="false" ht="15" hidden="false" customHeight="false" outlineLevel="0" collapsed="false">
      <c r="A24" s="9" t="s">
        <v>339</v>
      </c>
      <c r="B24" s="18" t="n">
        <v>9.2</v>
      </c>
      <c r="C24" s="9" t="s">
        <v>340</v>
      </c>
      <c r="D24" s="9" t="s">
        <v>297</v>
      </c>
      <c r="E24" s="59" t="s">
        <v>298</v>
      </c>
    </row>
    <row r="25" customFormat="false" ht="15" hidden="false" customHeight="false" outlineLevel="0" collapsed="false">
      <c r="A25" s="9" t="s">
        <v>341</v>
      </c>
      <c r="B25" s="18" t="n">
        <v>12.4</v>
      </c>
      <c r="C25" s="9" t="s">
        <v>342</v>
      </c>
      <c r="D25" s="9" t="s">
        <v>301</v>
      </c>
      <c r="E25" s="59" t="s">
        <v>302</v>
      </c>
    </row>
    <row r="26" customFormat="false" ht="15" hidden="false" customHeight="false" outlineLevel="0" collapsed="false">
      <c r="A26" s="9" t="s">
        <v>343</v>
      </c>
      <c r="B26" s="18" t="n">
        <v>13.3</v>
      </c>
      <c r="C26" s="9" t="s">
        <v>344</v>
      </c>
      <c r="D26" s="9" t="s">
        <v>305</v>
      </c>
      <c r="E26" s="59" t="s">
        <v>306</v>
      </c>
    </row>
    <row r="27" customFormat="false" ht="15" hidden="false" customHeight="false" outlineLevel="0" collapsed="false">
      <c r="A27" s="9" t="s">
        <v>345</v>
      </c>
      <c r="B27" s="18" t="n">
        <v>11</v>
      </c>
      <c r="C27" s="9" t="s">
        <v>346</v>
      </c>
      <c r="D27" s="9" t="s">
        <v>309</v>
      </c>
      <c r="E27" s="59" t="s">
        <v>310</v>
      </c>
    </row>
    <row r="28" customFormat="false" ht="15" hidden="false" customHeight="false" outlineLevel="0" collapsed="false">
      <c r="A28" s="9" t="s">
        <v>347</v>
      </c>
      <c r="B28" s="18" t="n">
        <v>11.2</v>
      </c>
      <c r="C28" s="9" t="s">
        <v>348</v>
      </c>
      <c r="D28" s="9" t="s">
        <v>313</v>
      </c>
      <c r="E28" s="59" t="s">
        <v>314</v>
      </c>
    </row>
    <row r="29" customFormat="false" ht="15" hidden="false" customHeight="false" outlineLevel="0" collapsed="false">
      <c r="A29" s="9" t="s">
        <v>349</v>
      </c>
      <c r="B29" s="18" t="n">
        <v>4.5</v>
      </c>
      <c r="C29" s="9" t="s">
        <v>350</v>
      </c>
      <c r="D29" s="9" t="s">
        <v>333</v>
      </c>
      <c r="E29" s="59" t="s">
        <v>302</v>
      </c>
    </row>
    <row r="30" customFormat="false" ht="15" hidden="false" customHeight="false" outlineLevel="0" collapsed="false">
      <c r="A30" s="9" t="s">
        <v>351</v>
      </c>
      <c r="B30" s="18" t="n">
        <v>10.1</v>
      </c>
      <c r="C30" s="9" t="s">
        <v>352</v>
      </c>
      <c r="D30" s="9" t="s">
        <v>336</v>
      </c>
      <c r="E30" s="59" t="s">
        <v>306</v>
      </c>
    </row>
    <row r="31" customFormat="false" ht="15" hidden="false" customHeight="false" outlineLevel="0" collapsed="false">
      <c r="A31" s="9" t="s">
        <v>353</v>
      </c>
      <c r="B31" s="18" t="n">
        <v>9</v>
      </c>
      <c r="C31" s="9" t="s">
        <v>354</v>
      </c>
      <c r="D31" s="9" t="s">
        <v>293</v>
      </c>
      <c r="E31" s="59" t="s">
        <v>294</v>
      </c>
    </row>
    <row r="32" customFormat="false" ht="15" hidden="false" customHeight="false" outlineLevel="0" collapsed="false">
      <c r="A32" s="9" t="s">
        <v>355</v>
      </c>
      <c r="B32" s="18" t="n">
        <v>11.4</v>
      </c>
      <c r="C32" s="9" t="s">
        <v>356</v>
      </c>
      <c r="D32" s="9" t="s">
        <v>297</v>
      </c>
      <c r="E32" s="59" t="s">
        <v>298</v>
      </c>
    </row>
    <row r="33" customFormat="false" ht="15" hidden="false" customHeight="false" outlineLevel="0" collapsed="false">
      <c r="A33" s="9" t="s">
        <v>357</v>
      </c>
      <c r="B33" s="18" t="n">
        <v>5.7</v>
      </c>
      <c r="C33" s="9" t="s">
        <v>358</v>
      </c>
      <c r="D33" s="9" t="s">
        <v>301</v>
      </c>
      <c r="E33" s="59" t="s">
        <v>302</v>
      </c>
    </row>
    <row r="34" customFormat="false" ht="15" hidden="false" customHeight="false" outlineLevel="0" collapsed="false">
      <c r="A34" s="9" t="s">
        <v>359</v>
      </c>
      <c r="B34" s="18" t="n">
        <v>12.3</v>
      </c>
      <c r="C34" s="9" t="s">
        <v>360</v>
      </c>
      <c r="D34" s="9" t="s">
        <v>305</v>
      </c>
      <c r="E34" s="59" t="s">
        <v>306</v>
      </c>
    </row>
    <row r="35" customFormat="false" ht="15" hidden="false" customHeight="false" outlineLevel="0" collapsed="false">
      <c r="A35" s="9" t="s">
        <v>361</v>
      </c>
      <c r="B35" s="18" t="n">
        <v>27.6</v>
      </c>
      <c r="C35" s="9" t="s">
        <v>362</v>
      </c>
      <c r="D35" s="9" t="s">
        <v>309</v>
      </c>
      <c r="E35" s="59" t="s">
        <v>310</v>
      </c>
    </row>
    <row r="36" customFormat="false" ht="15" hidden="false" customHeight="false" outlineLevel="0" collapsed="false">
      <c r="A36" s="9" t="s">
        <v>363</v>
      </c>
      <c r="B36" s="18" t="n">
        <v>3.1</v>
      </c>
      <c r="C36" s="9" t="s">
        <v>364</v>
      </c>
      <c r="D36" s="9" t="s">
        <v>313</v>
      </c>
      <c r="E36" s="59" t="s">
        <v>314</v>
      </c>
    </row>
    <row r="37" customFormat="false" ht="15" hidden="false" customHeight="false" outlineLevel="0" collapsed="false">
      <c r="A37" s="9" t="s">
        <v>365</v>
      </c>
      <c r="B37" s="18" t="n">
        <v>33.22</v>
      </c>
      <c r="C37" s="9" t="s">
        <v>366</v>
      </c>
      <c r="D37" s="9" t="s">
        <v>367</v>
      </c>
      <c r="E37" s="59" t="s">
        <v>368</v>
      </c>
    </row>
    <row r="38" customFormat="false" ht="15" hidden="false" customHeight="false" outlineLevel="0" collapsed="false">
      <c r="A38" s="9" t="s">
        <v>369</v>
      </c>
      <c r="B38" s="13" t="n">
        <v>1.3991</v>
      </c>
      <c r="C38" s="9" t="s">
        <v>370</v>
      </c>
      <c r="D38" s="9" t="s">
        <v>371</v>
      </c>
      <c r="E38" s="59" t="s">
        <v>372</v>
      </c>
    </row>
    <row r="39" customFormat="false" ht="15" hidden="false" customHeight="false" outlineLevel="0" collapsed="false">
      <c r="A39" s="9" t="s">
        <v>373</v>
      </c>
      <c r="B39" s="60" t="s">
        <v>53</v>
      </c>
      <c r="C39" s="9" t="s">
        <v>374</v>
      </c>
      <c r="D39" s="9" t="s">
        <v>375</v>
      </c>
      <c r="E39" s="59" t="s">
        <v>376</v>
      </c>
    </row>
    <row r="40" customFormat="false" ht="15" hidden="false" customHeight="false" outlineLevel="0" collapsed="false">
      <c r="A40" s="9" t="s">
        <v>377</v>
      </c>
      <c r="B40" s="18" t="n">
        <v>2.4833</v>
      </c>
      <c r="C40" s="9" t="s">
        <v>378</v>
      </c>
      <c r="D40" s="9" t="s">
        <v>375</v>
      </c>
      <c r="E40" s="59" t="s">
        <v>376</v>
      </c>
    </row>
    <row r="41" customFormat="false" ht="15" hidden="false" customHeight="false" outlineLevel="0" collapsed="false">
      <c r="A41" s="9" t="s">
        <v>379</v>
      </c>
      <c r="B41" s="60" t="s">
        <v>380</v>
      </c>
      <c r="C41" s="9" t="s">
        <v>381</v>
      </c>
      <c r="D41" s="9" t="s">
        <v>382</v>
      </c>
      <c r="E41" s="59" t="s">
        <v>383</v>
      </c>
    </row>
    <row r="42" customFormat="false" ht="15" hidden="false" customHeight="false" outlineLevel="0" collapsed="false">
      <c r="A42" s="9" t="s">
        <v>384</v>
      </c>
      <c r="B42" s="15" t="n">
        <v>0.794</v>
      </c>
      <c r="C42" s="9" t="s">
        <v>385</v>
      </c>
      <c r="D42" s="9" t="s">
        <v>313</v>
      </c>
      <c r="E42" s="59" t="s">
        <v>314</v>
      </c>
    </row>
    <row r="43" customFormat="false" ht="15" hidden="false" customHeight="false" outlineLevel="0" collapsed="false">
      <c r="A43" s="9" t="s">
        <v>386</v>
      </c>
      <c r="B43" s="60" t="s">
        <v>387</v>
      </c>
      <c r="C43" s="9" t="s">
        <v>388</v>
      </c>
      <c r="D43" s="9" t="s">
        <v>389</v>
      </c>
      <c r="E43" s="59" t="s">
        <v>390</v>
      </c>
    </row>
    <row r="44" customFormat="false" ht="15" hidden="false" customHeight="false" outlineLevel="0" collapsed="false">
      <c r="A44" s="9" t="s">
        <v>391</v>
      </c>
      <c r="B44" s="15" t="n">
        <v>0.24</v>
      </c>
      <c r="C44" s="9" t="s">
        <v>392</v>
      </c>
      <c r="D44" s="9" t="s">
        <v>393</v>
      </c>
      <c r="E44" s="59" t="s">
        <v>394</v>
      </c>
    </row>
    <row r="45" customFormat="false" ht="15" hidden="false" customHeight="false" outlineLevel="0" collapsed="false">
      <c r="A45" s="9" t="s">
        <v>395</v>
      </c>
      <c r="B45" s="15" t="n">
        <v>0.0399</v>
      </c>
      <c r="C45" s="9" t="s">
        <v>396</v>
      </c>
      <c r="D45" s="9" t="s">
        <v>397</v>
      </c>
      <c r="E45" s="59" t="s">
        <v>398</v>
      </c>
    </row>
  </sheetData>
  <hyperlinks>
    <hyperlink ref="E5" r:id="rId1" display="https://www.sec.gov/Archives/edgar/data/1829959/000162828024046493/docebo2024q3pr.htm"/>
    <hyperlink ref="E6" r:id="rId2" display="https://www.sec.gov/Archives/edgar/data/1829959/000162828025008862/docebo2024q4pr.htm"/>
    <hyperlink ref="E7" r:id="rId3" display="https://www.sec.gov/Archives/edgar/data/1829959/000162828025024057/docebo2025q1pr.htm"/>
    <hyperlink ref="E8" r:id="rId4" display="https://www.sec.gov/Archives/edgar/data/1829959/000162828025039119/docebo2025q2pr.htm"/>
    <hyperlink ref="E9" r:id="rId5" display="https://www.sec.gov/Archives/edgar/data/1829959/000162828025050413/docebo2025q3pr.htm"/>
    <hyperlink ref="E10" r:id="rId6" display="https://www.sec.gov/Archives/edgar/data/1829959/000162828026012570/docebo2025q4pr.htm"/>
    <hyperlink ref="E11" r:id="rId7" display="https://www.sec.gov/Archives/edgar/data/0001829959/000162828026032550/docebo2026q1pr.htm"/>
    <hyperlink ref="E12" r:id="rId8" display="https://www.sec.gov/Archives/edgar/data/1829959/000162828026054559/docebo2026q2pr.htm"/>
    <hyperlink ref="E13" r:id="rId9" display="https://www.sec.gov/Archives/edgar/data/1829959/000162828024046493/docebo2024q3pr.htm"/>
    <hyperlink ref="E14" r:id="rId10" display="https://www.sec.gov/Archives/edgar/data/1829959/000162828025008862/docebo2024q4pr.htm"/>
    <hyperlink ref="E15" r:id="rId11" display="https://www.sec.gov/Archives/edgar/data/1829959/000162828025024057/docebo2025q1pr.htm"/>
    <hyperlink ref="E16" r:id="rId12" display="https://www.sec.gov/Archives/edgar/data/1829959/000162828025039119/docebo2025q2pr.htm"/>
    <hyperlink ref="E17" r:id="rId13" display="https://www.sec.gov/Archives/edgar/data/1829959/000162828025050413/docebo2025q3pr.htm"/>
    <hyperlink ref="E18" r:id="rId14" display="https://www.sec.gov/Archives/edgar/data/1829959/000162828026012570/docebo2025q4pr.htm"/>
    <hyperlink ref="E19" r:id="rId15" display="https://www.sec.gov/Archives/edgar/data/0001829959/000162828026032550/docebo2026q1pr.htm"/>
    <hyperlink ref="E20" r:id="rId16" display="https://www.sec.gov/Archives/edgar/data/1829959/000162828026054559/docebo2026q2pr.htm"/>
    <hyperlink ref="E21" r:id="rId17" display="https://www.sec.gov/Archives/edgar/data/1829959/000162828025050413/docebo2025q3pr.htm"/>
    <hyperlink ref="E22" r:id="rId18" display="https://www.sec.gov/Archives/edgar/data/1829959/000162828026012570/docebo2025q4pr.htm"/>
    <hyperlink ref="E23" r:id="rId19" display="https://www.sec.gov/Archives/edgar/data/1829959/000162828025024057/docebo2025q1pr.htm"/>
    <hyperlink ref="E24" r:id="rId20" display="https://www.sec.gov/Archives/edgar/data/1829959/000162828025039119/docebo2025q2pr.htm"/>
    <hyperlink ref="E25" r:id="rId21" display="https://www.sec.gov/Archives/edgar/data/1829959/000162828025050413/docebo2025q3pr.htm"/>
    <hyperlink ref="E26" r:id="rId22" display="https://www.sec.gov/Archives/edgar/data/1829959/000162828026012570/docebo2025q4pr.htm"/>
    <hyperlink ref="E27" r:id="rId23" display="https://www.sec.gov/Archives/edgar/data/0001829959/000162828026032550/docebo2026q1pr.htm"/>
    <hyperlink ref="E28" r:id="rId24" display="https://www.sec.gov/Archives/edgar/data/1829959/000162828026054559/docebo2026q2pr.htm"/>
    <hyperlink ref="E29" r:id="rId25" display="https://www.sec.gov/Archives/edgar/data/1829959/000162828025050413/docebo2025q3pr.htm"/>
    <hyperlink ref="E30" r:id="rId26" display="https://www.sec.gov/Archives/edgar/data/1829959/000162828026012570/docebo2025q4pr.htm"/>
    <hyperlink ref="E31" r:id="rId27" display="https://www.sec.gov/Archives/edgar/data/1829959/000162828025024057/docebo2025q1pr.htm"/>
    <hyperlink ref="E32" r:id="rId28" display="https://www.sec.gov/Archives/edgar/data/1829959/000162828025039119/docebo2025q2pr.htm"/>
    <hyperlink ref="E33" r:id="rId29" display="https://www.sec.gov/Archives/edgar/data/1829959/000162828025050413/docebo2025q3pr.htm"/>
    <hyperlink ref="E34" r:id="rId30" display="https://www.sec.gov/Archives/edgar/data/1829959/000162828026012570/docebo2025q4pr.htm"/>
    <hyperlink ref="E35" r:id="rId31" display="https://www.sec.gov/Archives/edgar/data/0001829959/000162828026032550/docebo2026q1pr.htm"/>
    <hyperlink ref="E36" r:id="rId32" display="https://www.sec.gov/Archives/edgar/data/1829959/000162828026054559/docebo2026q2pr.htm"/>
    <hyperlink ref="E37" r:id="rId33" display="https://money.tmx.com/en/quote/DCBO"/>
    <hyperlink ref="E38" r:id="rId34" display="https://www.bankofcanada.ca/rates/exchange/daily-exchange-rates/"/>
    <hyperlink ref="E39" r:id="rId35" display="https://finance.yahoo.com/markets/stocks/articles/docebo-inc-announces-final-results-110000945.html"/>
    <hyperlink ref="E40" r:id="rId36" display="https://finance.yahoo.com/markets/stocks/articles/docebo-inc-announces-final-results-110000945.html"/>
    <hyperlink ref="E41" r:id="rId37" display="https://finance.yahoo.com/markets/stocks/articles/docebo-inc-announces-substantial-issuer-103000376.html"/>
    <hyperlink ref="E42" r:id="rId38" display="https://www.sec.gov/Archives/edgar/data/1829959/000162828026054559/docebo2026q2pr.htm"/>
    <hyperlink ref="E43" r:id="rId39" display="https://www.theglobeandmail.com/investing/markets/stocks/DCBO/pressreleases/632787/docebo-earnings-call-bookings-strength-amid-cautious-outlook/"/>
    <hyperlink ref="E44" r:id="rId40" display="https://www.investing.com/news/analyst-ratings/needham-reiterates-docebo-stock-rating-on-efficiency-gains-93CH-4628763"/>
    <hyperlink ref="E45" r:id="rId41" display="https://tradingeconomics.com/canada/government-bond-yiel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5" t="s">
        <v>399</v>
      </c>
    </row>
    <row r="2" customFormat="false" ht="15" hidden="false" customHeight="false" outlineLevel="0" collapsed="false">
      <c r="A2" s="6" t="s">
        <v>400</v>
      </c>
    </row>
    <row r="4" customFormat="false" ht="15" hidden="false" customHeight="false" outlineLevel="0" collapsed="false">
      <c r="A4" s="7" t="s">
        <v>401</v>
      </c>
      <c r="B4" s="8" t="s">
        <v>402</v>
      </c>
      <c r="C4" s="8" t="s">
        <v>150</v>
      </c>
      <c r="D4" s="8" t="s">
        <v>219</v>
      </c>
      <c r="E4" s="8" t="s">
        <v>403</v>
      </c>
      <c r="F4" s="8" t="s">
        <v>404</v>
      </c>
      <c r="G4" s="8" t="s">
        <v>405</v>
      </c>
      <c r="H4" s="8" t="s">
        <v>406</v>
      </c>
      <c r="I4" s="8" t="s">
        <v>407</v>
      </c>
    </row>
    <row r="5" customFormat="false" ht="15" hidden="false" customHeight="false" outlineLevel="0" collapsed="false">
      <c r="A5" s="60" t="s">
        <v>408</v>
      </c>
      <c r="B5" s="60" t="s">
        <v>409</v>
      </c>
      <c r="C5" s="24" t="n">
        <f aca="false">Inputs!B5</f>
        <v>33.22</v>
      </c>
      <c r="D5" s="52" t="n">
        <f aca="false">Inputs!B6</f>
        <v>1.3991</v>
      </c>
      <c r="E5" s="35" t="n">
        <f aca="false">Inputs!B40</f>
        <v>255.1</v>
      </c>
      <c r="F5" s="38" t="n">
        <f aca="false">Inputs!B17</f>
        <v>0.99</v>
      </c>
      <c r="G5" s="38" t="n">
        <f aca="false">'Reverse DCF'!H5</f>
        <v>0.902518223377385</v>
      </c>
      <c r="H5" s="24" t="n">
        <f aca="false">'Reverse DCF'!H10</f>
        <v>53.5303445478972</v>
      </c>
      <c r="I5" s="6" t="s">
        <v>410</v>
      </c>
    </row>
    <row r="6" customFormat="false" ht="15" hidden="false" customHeight="false" outlineLevel="0" collapsed="false">
      <c r="A6" s="60" t="s">
        <v>411</v>
      </c>
      <c r="B6" s="60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2026-09-29T22:17:57Z</dcterms:created>
  <dc:creator>openpyxl</dc:creator>
  <dc:description/>
  <dc:language>en-US</dc:language>
  <cp:lastModifiedBy/>
  <dcterms:modified xsi:type="dcterms:W3CDTF">2026-09-29T22:17:57Z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