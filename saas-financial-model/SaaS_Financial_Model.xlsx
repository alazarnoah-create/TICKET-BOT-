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Annual Summary" sheetId="2" state="visible" r:id="rId4"/>
    <sheet name="Assumptions" sheetId="3" state="visible" r:id="rId5"/>
    <sheet name="Revenue Build" sheetId="4" state="visible" r:id="rId6"/>
    <sheet name="Income Statement" sheetId="5" state="visible" r:id="rId7"/>
    <sheet name="Cash Flow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3" authorId="0">
      <text>
        <r>
          <rPr>
            <sz val="10"/>
            <rFont val="Arial"/>
            <family val="2"/>
          </rPr>
          <t xml:space="preserve">Customers sign up and cancel throughout the month, so on average a month earns the midpoint of opening and closing MRR.</t>
        </r>
      </text>
    </comment>
  </commentList>
</comments>
</file>

<file path=xl/sharedStrings.xml><?xml version="1.0" encoding="utf-8"?>
<sst xmlns="http://schemas.openxmlformats.org/spreadsheetml/2006/main" count="216" uniqueCount="172">
  <si>
    <t xml:space="preserve">SaaS Financial Model - how it works</t>
  </si>
  <si>
    <t xml:space="preserve">WHAT IT DOES</t>
  </si>
  <si>
    <t xml:space="preserve">A 36-month model of a subscription software business with three plans (Basic, Pro, Enterprise).</t>
  </si>
  <si>
    <t xml:space="preserve">It turns a handful of drivers (price, customer adds, churn, CAC, costs) into MRR/ARR, an income statement, a cash flow statement and unit economics.</t>
  </si>
  <si>
    <t xml:space="preserve">HOW THE TABS CONNECT</t>
  </si>
  <si>
    <t xml:space="preserve">1. Assumptions      - every input lives here. Change a blue number and the whole model updates.</t>
  </si>
  <si>
    <t xml:space="preserve">2. Revenue Build    - per plan: customers (beginning + new - churned = ending) and the MRR bridge (beginning + new + expansion - churn = ending).</t>
  </si>
  <si>
    <t xml:space="preserve">3. Income Statement - revenue, cost of revenue, gross profit, opex (S&amp;M, R&amp;D, G&amp;A), EBITDA, D&amp;A, taxes, net income.</t>
  </si>
  <si>
    <t xml:space="preserve">4. Cash Flow        - net income + D&amp;A - increase in receivables - capex + equity raised = change in cash; burn and runway.</t>
  </si>
  <si>
    <t xml:space="preserve">5. Annual Summary   - yearly roll-up, KPIs (ARR growth, margins, CAC, LTV, LTV/CAC, payback, Rule of 40) and charts.</t>
  </si>
  <si>
    <t xml:space="preserve">COLOR CODE</t>
  </si>
  <si>
    <t xml:space="preserve">Blue text = hard-coded input you can change   |   Black = formula   |   Green = link to another tab   |   Yellow fill = key driver</t>
  </si>
  <si>
    <t xml:space="preserve">KEY MODELLING CHOICES (say these out loud in an interview)</t>
  </si>
  <si>
    <t xml:space="preserve">- Revenue recognized in a month = average of beginning and ending MRR (customers join/leave mid-month on average).</t>
  </si>
  <si>
    <t xml:space="preserve">- Churn is applied to the beginning-of-month base; expansion is % of beginning MRR (upsells / seat growth).</t>
  </si>
  <si>
    <t xml:space="preserve">- S&amp;M = new customers x CAC per plan + fixed brand marketing. R&amp;D and G&amp;A grow at a fixed monthly rate.</t>
  </si>
  <si>
    <t xml:space="preserve">- Taxes only when EBIT is positive (no NOL carry-forward - a simplification). Capex depreciated straight-line.</t>
  </si>
  <si>
    <t xml:space="preserve">- Working capital = accounts receivable only (days of revenue). All customers billed monthly (no deferred revenue).</t>
  </si>
  <si>
    <t xml:space="preserve">IDEAS TO EXTEND IT</t>
  </si>
  <si>
    <t xml:space="preserve">Annual prepaid plans + deferred revenue; headcount-driven opex; NOL tracking; cohort retention curves; a balance sheet; scenario switch (base/bull/bear).</t>
  </si>
  <si>
    <t xml:space="preserve">Annual Summary &amp; KPIs</t>
  </si>
  <si>
    <t xml:space="preserve">Start (M0)</t>
  </si>
  <si>
    <t xml:space="preserve">How it's calculated</t>
  </si>
  <si>
    <t xml:space="preserve">Growth</t>
  </si>
  <si>
    <t xml:space="preserve">Ending customers</t>
  </si>
  <si>
    <t xml:space="preserve">Month-12/24/36 balance</t>
  </si>
  <si>
    <t xml:space="preserve">Ending MRR</t>
  </si>
  <si>
    <t xml:space="preserve">Monthly recurring revenue at year end</t>
  </si>
  <si>
    <t xml:space="preserve">Ending ARR</t>
  </si>
  <si>
    <t xml:space="preserve">MRR x 12</t>
  </si>
  <si>
    <t xml:space="preserve">ARR growth (%)</t>
  </si>
  <si>
    <t xml:space="preserve">vs. prior year-end (Year 1 vs. Month 0)</t>
  </si>
  <si>
    <t xml:space="preserve">Revenue</t>
  </si>
  <si>
    <t xml:space="preserve">Sum of monthly recognized revenue</t>
  </si>
  <si>
    <t xml:space="preserve">Revenue growth (%)</t>
  </si>
  <si>
    <t xml:space="preserve">Year-over-year</t>
  </si>
  <si>
    <t xml:space="preserve">Profitability</t>
  </si>
  <si>
    <t xml:space="preserve">Gross profit</t>
  </si>
  <si>
    <t xml:space="preserve">Gross margin (%)</t>
  </si>
  <si>
    <t xml:space="preserve">SaaS benchmark: 70-80%+</t>
  </si>
  <si>
    <t xml:space="preserve">EBITDA</t>
  </si>
  <si>
    <t xml:space="preserve">EBITDA margin (%)</t>
  </si>
  <si>
    <t xml:space="preserve">Net income</t>
  </si>
  <si>
    <t xml:space="preserve">Cash</t>
  </si>
  <si>
    <t xml:space="preserve">Free cash flow</t>
  </si>
  <si>
    <t xml:space="preserve">CFO + capex</t>
  </si>
  <si>
    <t xml:space="preserve">Ending cash</t>
  </si>
  <si>
    <t xml:space="preserve">Lowest month-end cash in year</t>
  </si>
  <si>
    <t xml:space="preserve">Must stay above zero - tells you when you need to raise</t>
  </si>
  <si>
    <t xml:space="preserve">Unit economics</t>
  </si>
  <si>
    <t xml:space="preserve">New customers acquired</t>
  </si>
  <si>
    <t xml:space="preserve">Sales &amp; marketing spend</t>
  </si>
  <si>
    <t xml:space="preserve">Blended CAC ($ per new customer)</t>
  </si>
  <si>
    <t xml:space="preserve">Total S&amp;M / new customers (includes fixed marketing)</t>
  </si>
  <si>
    <t xml:space="preserve">Avg monthly logo churn (%)</t>
  </si>
  <si>
    <t xml:space="preserve">Churned customers / beginning customers, summed over the year</t>
  </si>
  <si>
    <t xml:space="preserve">ARPA ($ / month, year end)</t>
  </si>
  <si>
    <t xml:space="preserve">Customer lifetime value (LTV)</t>
  </si>
  <si>
    <t xml:space="preserve">ARPA x gross margin / monthly churn</t>
  </si>
  <si>
    <t xml:space="preserve">LTV / CAC</t>
  </si>
  <si>
    <t xml:space="preserve">Healthy SaaS: 3.0x or higher</t>
  </si>
  <si>
    <t xml:space="preserve">CAC payback (months)</t>
  </si>
  <si>
    <t xml:space="preserve">Months of gross profit to earn back CAC. Good: &lt; 12-18</t>
  </si>
  <si>
    <t xml:space="preserve">Net MRR churn (monthly, %)</t>
  </si>
  <si>
    <t xml:space="preserve">(Churned MRR - expansion MRR) / beginning MRR. Negative = net expansion</t>
  </si>
  <si>
    <t xml:space="preserve">Rule of 40 (%)</t>
  </si>
  <si>
    <t xml:space="preserve">Revenue growth + EBITDA margin. &gt;= 40% is strong</t>
  </si>
  <si>
    <t xml:space="preserve">Assumptions</t>
  </si>
  <si>
    <t xml:space="preserve">Blue = input (change freely). Yellow = key driver. All values are illustrative, set by the modeller - not company data.</t>
  </si>
  <si>
    <t xml:space="preserve">Plan assumptions</t>
  </si>
  <si>
    <t xml:space="preserve">Basic</t>
  </si>
  <si>
    <t xml:space="preserve">Pro</t>
  </si>
  <si>
    <t xml:space="preserve">Enterprise</t>
  </si>
  <si>
    <t xml:space="preserve">Notes</t>
  </si>
  <si>
    <t xml:space="preserve">Monthly price ($ per customer / month)</t>
  </si>
  <si>
    <t xml:space="preserve">List price per account</t>
  </si>
  <si>
    <t xml:space="preserve">New customers acquired in Month 1</t>
  </si>
  <si>
    <t xml:space="preserve">Gross new logos in the first forecast month</t>
  </si>
  <si>
    <t xml:space="preserve">Monthly growth in new customer adds (%)</t>
  </si>
  <si>
    <t xml:space="preserve">Compounds: adds in month t = Month 1 adds x (1+g)^(t-1)</t>
  </si>
  <si>
    <t xml:space="preserve">Monthly logo churn (%)</t>
  </si>
  <si>
    <t xml:space="preserve">% of beginning customers (and MRR) lost each month</t>
  </si>
  <si>
    <t xml:space="preserve">Starting customers (Month 0)</t>
  </si>
  <si>
    <t xml:space="preserve">Existing base at model start</t>
  </si>
  <si>
    <t xml:space="preserve">Monthly expansion (% of beginning MRR)</t>
  </si>
  <si>
    <t xml:space="preserve">Upsell / extra seats from existing customers</t>
  </si>
  <si>
    <t xml:space="preserve">CAC - cost to acquire one customer ($)</t>
  </si>
  <si>
    <t xml:space="preserve">Variable sales &amp; marketing cost per new logo</t>
  </si>
  <si>
    <t xml:space="preserve">Operating cost assumptions</t>
  </si>
  <si>
    <t xml:space="preserve">Value</t>
  </si>
  <si>
    <t xml:space="preserve">Hosting &amp; infrastructure (% of revenue)</t>
  </si>
  <si>
    <t xml:space="preserve">Cloud cost scales with usage/revenue</t>
  </si>
  <si>
    <t xml:space="preserve">Payment processing fees (% of revenue)</t>
  </si>
  <si>
    <t xml:space="preserve">Card / Stripe-style fees</t>
  </si>
  <si>
    <t xml:space="preserve">Customer support ($ per customer / month)</t>
  </si>
  <si>
    <t xml:space="preserve">Applied to average customers in the month</t>
  </si>
  <si>
    <t xml:space="preserve">Fixed marketing spend ($ / month)</t>
  </si>
  <si>
    <t xml:space="preserve">Brand, content, events - not tied to new logos</t>
  </si>
  <si>
    <t xml:space="preserve">R&amp;D payroll - Month 1 ($ / month)</t>
  </si>
  <si>
    <t xml:space="preserve">Engineering &amp; product team</t>
  </si>
  <si>
    <t xml:space="preserve">R&amp;D monthly growth (%)</t>
  </si>
  <si>
    <t xml:space="preserve">Hiring pace</t>
  </si>
  <si>
    <t xml:space="preserve">G&amp;A - Month 1 ($ / month)</t>
  </si>
  <si>
    <t xml:space="preserve">Finance, legal, office, admin</t>
  </si>
  <si>
    <t xml:space="preserve">G&amp;A monthly growth (%)</t>
  </si>
  <si>
    <t xml:space="preserve">Capex ($ / month)</t>
  </si>
  <si>
    <t xml:space="preserve">Laptops, equipment</t>
  </si>
  <si>
    <t xml:space="preserve">Useful life of capex (months)</t>
  </si>
  <si>
    <t xml:space="preserve">Straight-line depreciation</t>
  </si>
  <si>
    <t xml:space="preserve">Tax rate (%)</t>
  </si>
  <si>
    <t xml:space="preserve">Applied only to positive EBIT</t>
  </si>
  <si>
    <t xml:space="preserve">Cash &amp; financing</t>
  </si>
  <si>
    <t xml:space="preserve">Starting cash ($)</t>
  </si>
  <si>
    <t xml:space="preserve">Cash in the bank at Month 0</t>
  </si>
  <si>
    <t xml:space="preserve">Accounts receivable (days of revenue)</t>
  </si>
  <si>
    <t xml:space="preserve">How long customers take to pay</t>
  </si>
  <si>
    <t xml:space="preserve">Equity raise amount ($)</t>
  </si>
  <si>
    <t xml:space="preserve">e.g. a Series A</t>
  </si>
  <si>
    <t xml:space="preserve">Equity raise month</t>
  </si>
  <si>
    <t xml:space="preserve">Month number in which the cash arrives</t>
  </si>
  <si>
    <t xml:space="preserve">Revenue Build - customers and MRR by plan</t>
  </si>
  <si>
    <t xml:space="preserve">Month</t>
  </si>
  <si>
    <t xml:space="preserve">Year</t>
  </si>
  <si>
    <t xml:space="preserve">Basic plan</t>
  </si>
  <si>
    <t xml:space="preserve">Beginning customers</t>
  </si>
  <si>
    <t xml:space="preserve">(+) New customers</t>
  </si>
  <si>
    <t xml:space="preserve">(-) Churned customers</t>
  </si>
  <si>
    <t xml:space="preserve">Beginning MRR</t>
  </si>
  <si>
    <t xml:space="preserve">(+) New MRR</t>
  </si>
  <si>
    <t xml:space="preserve">(+) Expansion MRR</t>
  </si>
  <si>
    <t xml:space="preserve">(-) Churned MRR</t>
  </si>
  <si>
    <t xml:space="preserve">Pro plan</t>
  </si>
  <si>
    <t xml:space="preserve">Enterprise plan</t>
  </si>
  <si>
    <t xml:space="preserve">Total - all plans</t>
  </si>
  <si>
    <t xml:space="preserve">Net new MRR</t>
  </si>
  <si>
    <t xml:space="preserve">ARR (ending MRR x 12)</t>
  </si>
  <si>
    <t xml:space="preserve">ARPA - avg revenue per account ($ / month)</t>
  </si>
  <si>
    <t xml:space="preserve">MoM MRR growth (%)</t>
  </si>
  <si>
    <t xml:space="preserve">Recognized revenue (avg of beginning &amp; ending MRR)</t>
  </si>
  <si>
    <t xml:space="preserve">Income Statement ($)</t>
  </si>
  <si>
    <t xml:space="preserve">Cost of revenue</t>
  </si>
  <si>
    <t xml:space="preserve">Hosting &amp; infrastructure</t>
  </si>
  <si>
    <t xml:space="preserve">Payment processing</t>
  </si>
  <si>
    <t xml:space="preserve">Customer support</t>
  </si>
  <si>
    <t xml:space="preserve">Total cost of revenue</t>
  </si>
  <si>
    <t xml:space="preserve">Operating expenses</t>
  </si>
  <si>
    <t xml:space="preserve">Sales &amp; marketing (CAC x new logos + fixed)</t>
  </si>
  <si>
    <t xml:space="preserve">Research &amp; development</t>
  </si>
  <si>
    <t xml:space="preserve">General &amp; administrative</t>
  </si>
  <si>
    <t xml:space="preserve">Total operating expenses</t>
  </si>
  <si>
    <t xml:space="preserve">Depreciation &amp; amortization</t>
  </si>
  <si>
    <t xml:space="preserve">EBIT (operating income)</t>
  </si>
  <si>
    <t xml:space="preserve">Income taxes</t>
  </si>
  <si>
    <t xml:space="preserve">Net margin (%)</t>
  </si>
  <si>
    <t xml:space="preserve">Cash Flow Statement ($)</t>
  </si>
  <si>
    <t xml:space="preserve">Operating activities</t>
  </si>
  <si>
    <t xml:space="preserve">(+) Depreciation &amp; amortization</t>
  </si>
  <si>
    <t xml:space="preserve">(-) Increase in accounts receivable</t>
  </si>
  <si>
    <t xml:space="preserve">Cash flow from operations</t>
  </si>
  <si>
    <t xml:space="preserve">Investing activities</t>
  </si>
  <si>
    <t xml:space="preserve">Capital expenditures</t>
  </si>
  <si>
    <t xml:space="preserve">Cash flow from investing</t>
  </si>
  <si>
    <t xml:space="preserve">Financing activities</t>
  </si>
  <si>
    <t xml:space="preserve">Equity raised</t>
  </si>
  <si>
    <t xml:space="preserve">Cash flow from financing</t>
  </si>
  <si>
    <t xml:space="preserve">Net change in cash</t>
  </si>
  <si>
    <t xml:space="preserve">Beginning cash</t>
  </si>
  <si>
    <t xml:space="preserve">Accounts receivable balance</t>
  </si>
  <si>
    <t xml:space="preserve">Burn &amp; runway</t>
  </si>
  <si>
    <t xml:space="preserve">Free cash flow (CFO + CFI)</t>
  </si>
  <si>
    <t xml:space="preserve">Monthly burn</t>
  </si>
  <si>
    <t xml:space="preserve">Runway at current burn (months)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</si>
</sst>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Year &quot;0"/>
    <numFmt numFmtId="166" formatCode="#,##0;\(#,##0\);\-"/>
    <numFmt numFmtId="167" formatCode="\$#,##0;&quot;($&quot;#,##0\);\-"/>
    <numFmt numFmtId="168" formatCode="0.0%;\(0.0%\);\-"/>
    <numFmt numFmtId="169" formatCode="0.0\x;\(0.0&quot;x)&quot;;\-"/>
    <numFmt numFmtId="170" formatCode="0.0;\(0.0\);\-"/>
    <numFmt numFmtId="171" formatCode="\Y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Ending MRR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Build'!$C$2:$AL$2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'Revenue Build'!$C$47:$AL$47</c:f>
              <c:numCache>
                <c:formatCode>\$#,##0;"($"#,##0\);\-</c:formatCode>
                <c:ptCount val="36"/>
                <c:pt idx="0">
                  <c:v>20618.285</c:v>
                </c:pt>
                <c:pt idx="1">
                  <c:v>27623.161925</c:v>
                </c:pt>
                <c:pt idx="2">
                  <c:v>34895.131729625</c:v>
                </c:pt>
                <c:pt idx="3">
                  <c:v>42448.2892228231</c:v>
                </c:pt>
                <c:pt idx="4">
                  <c:v>50297.3525970567</c:v>
                </c:pt>
                <c:pt idx="5">
                  <c:v>58457.6943371399</c:v>
                </c:pt>
                <c:pt idx="6">
                  <c:v>66945.3735765118</c:v>
                </c:pt>
                <c:pt idx="7">
                  <c:v>75777.1699719981</c:v>
                </c:pt>
                <c:pt idx="8">
                  <c:v>84970.6191715332</c:v>
                </c:pt>
                <c:pt idx="9">
                  <c:v>94544.0499529067</c:v>
                </c:pt>
                <c:pt idx="10">
                  <c:v>104516.623115366</c:v>
                </c:pt>
                <c:pt idx="11">
                  <c:v>114908.372209857</c:v>
                </c:pt>
                <c:pt idx="12">
                  <c:v>125740.246197825</c:v>
                </c:pt>
                <c:pt idx="13">
                  <c:v>137034.154132865</c:v>
                </c:pt>
                <c:pt idx="14">
                  <c:v>148813.01196405</c:v>
                </c:pt>
                <c:pt idx="15">
                  <c:v>161100.791564572</c:v>
                </c:pt>
                <c:pt idx="16">
                  <c:v>173922.572094342</c:v>
                </c:pt>
                <c:pt idx="17">
                  <c:v>187304.59381047</c:v>
                </c:pt>
                <c:pt idx="18">
                  <c:v>201274.314445068</c:v>
                </c:pt>
                <c:pt idx="19">
                  <c:v>215860.468275622</c:v>
                </c:pt>
                <c:pt idx="20">
                  <c:v>231093.128019262</c:v>
                </c:pt>
                <c:pt idx="21">
                  <c:v>247003.769688641</c:v>
                </c:pt>
                <c:pt idx="22">
                  <c:v>263625.340553821</c:v>
                </c:pt>
                <c:pt idx="23">
                  <c:v>280992.330361601</c:v>
                </c:pt>
                <c:pt idx="24">
                  <c:v>299140.845971096</c:v>
                </c:pt>
                <c:pt idx="25">
                  <c:v>318108.689572065</c:v>
                </c:pt>
                <c:pt idx="26">
                  <c:v>337935.440660665</c:v>
                </c:pt>
                <c:pt idx="27">
                  <c:v>358662.541955744</c:v>
                </c:pt>
                <c:pt idx="28">
                  <c:v>380333.389447776</c:v>
                </c:pt>
                <c:pt idx="29">
                  <c:v>402993.42678185</c:v>
                </c:pt>
                <c:pt idx="30">
                  <c:v>426690.244185991</c:v>
                </c:pt>
                <c:pt idx="31">
                  <c:v>451473.68216638</c:v>
                </c:pt>
                <c:pt idx="32">
                  <c:v>477395.940201849</c:v>
                </c:pt>
                <c:pt idx="33">
                  <c:v>504511.69068138</c:v>
                </c:pt>
                <c:pt idx="34">
                  <c:v>532878.198340241</c:v>
                </c:pt>
                <c:pt idx="35">
                  <c:v>562555.445462864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284826"/>
        <c:axId val="3511541"/>
      </c:lineChart>
      <c:catAx>
        <c:axId val="452848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1541"/>
        <c:crosses val="autoZero"/>
        <c:auto val="1"/>
        <c:lblAlgn val="ctr"/>
        <c:lblOffset val="100"/>
        <c:noMultiLvlLbl val="0"/>
      </c:catAx>
      <c:valAx>
        <c:axId val="35115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848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Ending cash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Flow'!$C$2:$AL$2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'Cash Flow'!$C$19:$AL$19</c:f>
              <c:numCache>
                <c:formatCode>\$#,##0;"($"#,##0\);\-</c:formatCode>
                <c:ptCount val="36"/>
                <c:pt idx="0">
                  <c:v>1846503.123625</c:v>
                </c:pt>
                <c:pt idx="1">
                  <c:v>1691082.56840563</c:v>
                </c:pt>
                <c:pt idx="2">
                  <c:v>1537049.35641603</c:v>
                </c:pt>
                <c:pt idx="3">
                  <c:v>1384463.41788059</c:v>
                </c:pt>
                <c:pt idx="4">
                  <c:v>1233389.07881741</c:v>
                </c:pt>
                <c:pt idx="5">
                  <c:v>1083895.24359392</c:v>
                </c:pt>
                <c:pt idx="6">
                  <c:v>936055.586996114</c:v>
                </c:pt>
                <c:pt idx="7">
                  <c:v>789948.756238302</c:v>
                </c:pt>
                <c:pt idx="8">
                  <c:v>645658.583361615</c:v>
                </c:pt>
                <c:pt idx="9">
                  <c:v>503274.308491517</c:v>
                </c:pt>
                <c:pt idx="10">
                  <c:v>362890.814447863</c:v>
                </c:pt>
                <c:pt idx="11">
                  <c:v>224608.873225361</c:v>
                </c:pt>
                <c:pt idx="12">
                  <c:v>3088535.40488775</c:v>
                </c:pt>
                <c:pt idx="13">
                  <c:v>2954783.74944564</c:v>
                </c:pt>
                <c:pt idx="14">
                  <c:v>2823473.95231609</c:v>
                </c:pt>
                <c:pt idx="15">
                  <c:v>2694733.06399082</c:v>
                </c:pt>
                <c:pt idx="16">
                  <c:v>2568695.45457132</c:v>
                </c:pt>
                <c:pt idx="17">
                  <c:v>2445503.14386047</c:v>
                </c:pt>
                <c:pt idx="18">
                  <c:v>2325306.14773455</c:v>
                </c:pt>
                <c:pt idx="19">
                  <c:v>2208262.84155446</c:v>
                </c:pt>
                <c:pt idx="20">
                  <c:v>2094540.34141197</c:v>
                </c:pt>
                <c:pt idx="21">
                  <c:v>1984314.90404569</c:v>
                </c:pt>
                <c:pt idx="22">
                  <c:v>1877772.34630182</c:v>
                </c:pt>
                <c:pt idx="23">
                  <c:v>1775108.48505745</c:v>
                </c:pt>
                <c:pt idx="24">
                  <c:v>1676529.59856855</c:v>
                </c:pt>
                <c:pt idx="25">
                  <c:v>1582252.91025171</c:v>
                </c:pt>
                <c:pt idx="26">
                  <c:v>1492507.0959575</c:v>
                </c:pt>
                <c:pt idx="27">
                  <c:v>1407532.81584466</c:v>
                </c:pt>
                <c:pt idx="28">
                  <c:v>1327583.27201811</c:v>
                </c:pt>
                <c:pt idx="29">
                  <c:v>1252924.79315018</c:v>
                </c:pt>
                <c:pt idx="30">
                  <c:v>1183837.44736346</c:v>
                </c:pt>
                <c:pt idx="31">
                  <c:v>1120615.68471572</c:v>
                </c:pt>
                <c:pt idx="32">
                  <c:v>1063569.01069217</c:v>
                </c:pt>
                <c:pt idx="33">
                  <c:v>1013022.69217846</c:v>
                </c:pt>
                <c:pt idx="34">
                  <c:v>969318.497459172</c:v>
                </c:pt>
                <c:pt idx="35">
                  <c:v>932815.471861263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225635"/>
        <c:axId val="47893339"/>
      </c:lineChart>
      <c:catAx>
        <c:axId val="352256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93339"/>
        <c:crosses val="autoZero"/>
        <c:auto val="1"/>
        <c:lblAlgn val="ctr"/>
        <c:lblOffset val="100"/>
        <c:noMultiLvlLbl val="0"/>
      </c:catAx>
      <c:valAx>
        <c:axId val="47893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256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14</xdr:col>
      <xdr:colOff>448200</xdr:colOff>
      <xdr:row>16</xdr:row>
      <xdr:rowOff>2520</xdr:rowOff>
    </xdr:to>
    <xdr:graphicFrame>
      <xdr:nvGraphicFramePr>
        <xdr:cNvPr id="0" name="Chart 1"/>
        <xdr:cNvGraphicFramePr/>
      </xdr:nvGraphicFramePr>
      <xdr:xfrm>
        <a:off x="15694200" y="380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160560</xdr:rowOff>
    </xdr:from>
    <xdr:to>
      <xdr:col>14</xdr:col>
      <xdr:colOff>448200</xdr:colOff>
      <xdr:row>33</xdr:row>
      <xdr:rowOff>2880</xdr:rowOff>
    </xdr:to>
    <xdr:graphicFrame>
      <xdr:nvGraphicFramePr>
        <xdr:cNvPr id="1" name="Chart 2"/>
        <xdr:cNvGraphicFramePr/>
      </xdr:nvGraphicFramePr>
      <xdr:xfrm>
        <a:off x="15694200" y="3619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2" t="s">
        <v>8</v>
      </c>
    </row>
    <row r="12" customFormat="false" ht="1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 t="s">
        <v>15</v>
      </c>
    </row>
    <row r="21" customFormat="false" ht="15" hidden="false" customHeight="false" outlineLevel="0" collapsed="false">
      <c r="B21" s="2" t="s">
        <v>16</v>
      </c>
    </row>
    <row r="22" customFormat="false" ht="15" hidden="false" customHeight="false" outlineLevel="0" collapsed="false">
      <c r="B22" s="2" t="s">
        <v>17</v>
      </c>
    </row>
    <row r="23" customFormat="false" ht="15" hidden="false" customHeight="false" outlineLevel="0" collapsed="false">
      <c r="B23" s="2"/>
    </row>
    <row r="24" customFormat="false" ht="15" hidden="false" customHeight="false" outlineLevel="0" collapsed="false">
      <c r="B24" s="3" t="s">
        <v>18</v>
      </c>
    </row>
    <row r="25" customFormat="false" ht="15" hidden="false" customHeight="false" outlineLevel="0" collapsed="false">
      <c r="B25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5"/>
    <col collapsed="false" customWidth="true" hidden="false" outlineLevel="0" max="6" min="6" style="0" width="62"/>
  </cols>
  <sheetData>
    <row r="1" customFormat="false" ht="17.35" hidden="false" customHeight="false" outlineLevel="0" collapsed="false">
      <c r="A1" s="4" t="s">
        <v>20</v>
      </c>
    </row>
    <row r="3" customFormat="false" ht="15" hidden="false" customHeight="false" outlineLevel="0" collapsed="false">
      <c r="A3" s="5"/>
      <c r="B3" s="6" t="s">
        <v>21</v>
      </c>
      <c r="C3" s="7" t="n">
        <v>1</v>
      </c>
      <c r="D3" s="7" t="n">
        <v>2</v>
      </c>
      <c r="E3" s="7" t="n">
        <v>3</v>
      </c>
      <c r="F3" s="6" t="s">
        <v>22</v>
      </c>
    </row>
    <row r="4" customFormat="false" ht="15" hidden="false" customHeight="false" outlineLevel="0" collapsed="false">
      <c r="A4" s="8" t="s">
        <v>23</v>
      </c>
      <c r="B4" s="9"/>
      <c r="C4" s="9"/>
      <c r="D4" s="9"/>
      <c r="E4" s="9"/>
      <c r="F4" s="9"/>
    </row>
    <row r="5" customFormat="false" ht="15" hidden="false" customHeight="false" outlineLevel="0" collapsed="false">
      <c r="A5" s="10" t="s">
        <v>24</v>
      </c>
      <c r="B5" s="11" t="n">
        <f aca="false">'Revenue Build'!B42</f>
        <v>133</v>
      </c>
      <c r="C5" s="12" t="n">
        <f aca="false">INDEX('Revenue Build'!$C$42:$AL$42,C$3*12)</f>
        <v>891.850540732858</v>
      </c>
      <c r="D5" s="12" t="n">
        <f aca="false">INDEX('Revenue Build'!$C$42:$AL$42,D$3*12)</f>
        <v>2071.0584844028</v>
      </c>
      <c r="E5" s="12" t="n">
        <f aca="false">INDEX('Revenue Build'!$C$42:$AL$42,E$3*12)</f>
        <v>4052.74119755191</v>
      </c>
      <c r="F5" s="13" t="s">
        <v>25</v>
      </c>
    </row>
    <row r="6" customFormat="false" ht="15" hidden="false" customHeight="false" outlineLevel="0" collapsed="false">
      <c r="A6" s="10" t="s">
        <v>26</v>
      </c>
      <c r="B6" s="14" t="n">
        <f aca="false">'Revenue Build'!B47</f>
        <v>13867</v>
      </c>
      <c r="C6" s="15" t="n">
        <f aca="false">INDEX('Revenue Build'!$C$47:$AL$47,C$3*12)</f>
        <v>114908.372209857</v>
      </c>
      <c r="D6" s="15" t="n">
        <f aca="false">INDEX('Revenue Build'!$C$47:$AL$47,D$3*12)</f>
        <v>280992.330361601</v>
      </c>
      <c r="E6" s="15" t="n">
        <f aca="false">INDEX('Revenue Build'!$C$47:$AL$47,E$3*12)</f>
        <v>562555.445462864</v>
      </c>
      <c r="F6" s="13" t="s">
        <v>27</v>
      </c>
    </row>
    <row r="7" customFormat="false" ht="15" hidden="false" customHeight="false" outlineLevel="0" collapsed="false">
      <c r="A7" s="16" t="s">
        <v>28</v>
      </c>
      <c r="B7" s="17" t="n">
        <f aca="false">B6*12</f>
        <v>166404</v>
      </c>
      <c r="C7" s="18" t="n">
        <f aca="false">C6*12</f>
        <v>1378900.46651828</v>
      </c>
      <c r="D7" s="18" t="n">
        <f aca="false">D6*12</f>
        <v>3371907.96433922</v>
      </c>
      <c r="E7" s="18" t="n">
        <f aca="false">E6*12</f>
        <v>6750665.34555437</v>
      </c>
      <c r="F7" s="13" t="s">
        <v>29</v>
      </c>
    </row>
    <row r="8" customFormat="false" ht="15" hidden="false" customHeight="false" outlineLevel="0" collapsed="false">
      <c r="A8" s="10" t="s">
        <v>30</v>
      </c>
      <c r="C8" s="19" t="n">
        <f aca="false">IF(B7&gt;0,C7/B7-1,0)</f>
        <v>7.2864622636372</v>
      </c>
      <c r="D8" s="19" t="n">
        <f aca="false">IF(C7&gt;0,D7/C7-1,0)</f>
        <v>1.44535994164486</v>
      </c>
      <c r="E8" s="19" t="n">
        <f aca="false">IF(D7&gt;0,E7/D7-1,0)</f>
        <v>1.00203131786169</v>
      </c>
      <c r="F8" s="13" t="s">
        <v>31</v>
      </c>
    </row>
    <row r="9" customFormat="false" ht="15" hidden="false" customHeight="false" outlineLevel="0" collapsed="false">
      <c r="A9" s="16" t="s">
        <v>32</v>
      </c>
      <c r="C9" s="20" t="n">
        <f aca="false">SUMIFS('Income Statement'!$C$5:$AL$5,'Income Statement'!$C$3:$AL$3,C$3)</f>
        <v>725481.43670489</v>
      </c>
      <c r="D9" s="20" t="n">
        <f aca="false">SUMIFS('Income Statement'!$C$5:$AL$5,'Income Statement'!$C$3:$AL$3,D$3)</f>
        <v>2290722.74203227</v>
      </c>
      <c r="E9" s="20" t="n">
        <f aca="false">SUMIFS('Income Statement'!$C$5:$AL$5,'Income Statement'!$C$3:$AL$3,E$3)</f>
        <v>4911897.97787727</v>
      </c>
      <c r="F9" s="13" t="s">
        <v>33</v>
      </c>
    </row>
    <row r="10" customFormat="false" ht="15" hidden="false" customHeight="false" outlineLevel="0" collapsed="false">
      <c r="A10" s="10" t="s">
        <v>34</v>
      </c>
      <c r="C10" s="19" t="str">
        <f aca="false">"n/a"</f>
        <v>n/a</v>
      </c>
      <c r="D10" s="19" t="n">
        <f aca="false">IF(C9&gt;0,D9/C9-1,0)</f>
        <v>2.15752082153424</v>
      </c>
      <c r="E10" s="19" t="n">
        <f aca="false">IF(D9&gt;0,E9/D9-1,0)</f>
        <v>1.14425687044062</v>
      </c>
      <c r="F10" s="13" t="s">
        <v>35</v>
      </c>
    </row>
    <row r="11" customFormat="false" ht="15" hidden="false" customHeight="false" outlineLevel="0" collapsed="false">
      <c r="A11" s="8" t="s">
        <v>36</v>
      </c>
      <c r="B11" s="9"/>
      <c r="C11" s="9"/>
      <c r="D11" s="9"/>
      <c r="E11" s="9"/>
      <c r="F11" s="9"/>
    </row>
    <row r="12" customFormat="false" ht="15" hidden="false" customHeight="false" outlineLevel="0" collapsed="false">
      <c r="A12" s="10" t="s">
        <v>37</v>
      </c>
      <c r="C12" s="15" t="n">
        <f aca="false">SUMIFS('Income Statement'!$C$11:$AL$11,'Income Statement'!$C$3:$AL$3,C$3)</f>
        <v>569749.828159916</v>
      </c>
      <c r="D12" s="15" t="n">
        <f aca="false">SUMIFS('Income Statement'!$C$11:$AL$11,'Income Statement'!$C$3:$AL$3,D$3)</f>
        <v>1809449.82149864</v>
      </c>
      <c r="E12" s="15" t="n">
        <f aca="false">SUMIFS('Income Statement'!$C$11:$AL$11,'Income Statement'!$C$3:$AL$3,E$3)</f>
        <v>3889658.42168286</v>
      </c>
      <c r="F12" s="13"/>
    </row>
    <row r="13" customFormat="false" ht="15" hidden="false" customHeight="false" outlineLevel="0" collapsed="false">
      <c r="A13" s="10" t="s">
        <v>38</v>
      </c>
      <c r="C13" s="19" t="n">
        <f aca="false">IF(C9&lt;&gt;0,C12/C9,0)</f>
        <v>0.785340326208344</v>
      </c>
      <c r="D13" s="19" t="n">
        <f aca="false">IF(D9&lt;&gt;0,D12/D9,0)</f>
        <v>0.789903460727571</v>
      </c>
      <c r="E13" s="19" t="n">
        <f aca="false">IF(E9&lt;&gt;0,E12/E9,0)</f>
        <v>0.791885018622439</v>
      </c>
      <c r="F13" s="13" t="s">
        <v>39</v>
      </c>
    </row>
    <row r="14" customFormat="false" ht="15" hidden="false" customHeight="false" outlineLevel="0" collapsed="false">
      <c r="A14" s="16" t="s">
        <v>40</v>
      </c>
      <c r="C14" s="20" t="n">
        <f aca="false">SUMIFS('Income Statement'!$C$18:$AL$18,'Income Statement'!$C$3:$AL$3,C$3)</f>
        <v>-1619545.62911203</v>
      </c>
      <c r="D14" s="20" t="n">
        <f aca="false">SUMIFS('Income Statement'!$C$18:$AL$18,'Income Statement'!$C$3:$AL$3,D$3)</f>
        <v>-1226904.05037281</v>
      </c>
      <c r="E14" s="20" t="n">
        <f aca="false">SUMIFS('Income Statement'!$C$18:$AL$18,'Income Statement'!$C$3:$AL$3,E$3)</f>
        <v>-506885.026752349</v>
      </c>
      <c r="F14" s="13"/>
    </row>
    <row r="15" customFormat="false" ht="15" hidden="false" customHeight="false" outlineLevel="0" collapsed="false">
      <c r="A15" s="10" t="s">
        <v>41</v>
      </c>
      <c r="C15" s="19" t="n">
        <f aca="false">IF(C9&lt;&gt;0,C14/C9,0)</f>
        <v>-2.23237363104416</v>
      </c>
      <c r="D15" s="19" t="n">
        <f aca="false">IF(D9&lt;&gt;0,D14/D9,0)</f>
        <v>-0.535596922255346</v>
      </c>
      <c r="E15" s="19" t="n">
        <f aca="false">IF(E9&lt;&gt;0,E14/E9,0)</f>
        <v>-0.103195349136996</v>
      </c>
      <c r="F15" s="13"/>
    </row>
    <row r="16" customFormat="false" ht="15" hidden="false" customHeight="false" outlineLevel="0" collapsed="false">
      <c r="A16" s="10" t="s">
        <v>42</v>
      </c>
      <c r="C16" s="15" t="n">
        <f aca="false">SUMIFS('Income Statement'!$C$23:$AL$23,'Income Statement'!$C$3:$AL$3,C$3)</f>
        <v>-1630378.96244536</v>
      </c>
      <c r="D16" s="15" t="n">
        <f aca="false">SUMIFS('Income Statement'!$C$23:$AL$23,'Income Statement'!$C$3:$AL$3,D$3)</f>
        <v>-1257737.38370614</v>
      </c>
      <c r="E16" s="15" t="n">
        <f aca="false">SUMIFS('Income Statement'!$C$23:$AL$23,'Income Statement'!$C$3:$AL$3,E$3)</f>
        <v>-557718.360085682</v>
      </c>
      <c r="F16" s="13"/>
    </row>
    <row r="17" customFormat="false" ht="15" hidden="false" customHeight="false" outlineLevel="0" collapsed="false">
      <c r="A17" s="8" t="s">
        <v>43</v>
      </c>
      <c r="B17" s="9"/>
      <c r="C17" s="9"/>
      <c r="D17" s="9"/>
      <c r="E17" s="9"/>
      <c r="F17" s="9"/>
    </row>
    <row r="18" customFormat="false" ht="15" hidden="false" customHeight="false" outlineLevel="0" collapsed="false">
      <c r="A18" s="16" t="s">
        <v>44</v>
      </c>
      <c r="C18" s="20" t="n">
        <f aca="false">SUMIFS('Cash Flow'!$C$22:$AL$22,'Cash Flow'!$C$3:$AL$3,C$3)</f>
        <v>-1775391.12677464</v>
      </c>
      <c r="D18" s="20" t="n">
        <f aca="false">SUMIFS('Cash Flow'!$C$22:$AL$22,'Cash Flow'!$C$3:$AL$3,D$3)</f>
        <v>-1449500.38816791</v>
      </c>
      <c r="E18" s="20" t="n">
        <f aca="false">SUMIFS('Cash Flow'!$C$22:$AL$22,'Cash Flow'!$C$3:$AL$3,E$3)</f>
        <v>-842293.013196191</v>
      </c>
      <c r="F18" s="13" t="s">
        <v>45</v>
      </c>
    </row>
    <row r="19" customFormat="false" ht="15" hidden="false" customHeight="false" outlineLevel="0" collapsed="false">
      <c r="A19" s="10" t="s">
        <v>46</v>
      </c>
      <c r="B19" s="14" t="n">
        <f aca="false">'Cash Flow'!B19</f>
        <v>2000000</v>
      </c>
      <c r="C19" s="15" t="n">
        <f aca="false">INDEX('Cash Flow'!$C$19:$AL$19,C$3*12)</f>
        <v>224608.873225361</v>
      </c>
      <c r="D19" s="15" t="n">
        <f aca="false">INDEX('Cash Flow'!$C$19:$AL$19,D$3*12)</f>
        <v>1775108.48505745</v>
      </c>
      <c r="E19" s="15" t="n">
        <f aca="false">INDEX('Cash Flow'!$C$19:$AL$19,E$3*12)</f>
        <v>932815.471861263</v>
      </c>
      <c r="F19" s="13"/>
    </row>
    <row r="20" customFormat="false" ht="15" hidden="false" customHeight="false" outlineLevel="0" collapsed="false">
      <c r="A20" s="10" t="s">
        <v>47</v>
      </c>
      <c r="C20" s="15" t="n">
        <f aca="false">_xlfn.MINIFS('Cash Flow'!$C$19:$AL$19,'Cash Flow'!$C$3:$AL$3,C$3)</f>
        <v>224608.873225361</v>
      </c>
      <c r="D20" s="15" t="n">
        <f aca="false">_xlfn.MINIFS('Cash Flow'!$C$19:$AL$19,'Cash Flow'!$C$3:$AL$3,D$3)</f>
        <v>1775108.48505745</v>
      </c>
      <c r="E20" s="15" t="n">
        <f aca="false">_xlfn.MINIFS('Cash Flow'!$C$19:$AL$19,'Cash Flow'!$C$3:$AL$3,E$3)</f>
        <v>932815.471861263</v>
      </c>
      <c r="F20" s="13" t="s">
        <v>48</v>
      </c>
    </row>
    <row r="21" customFormat="false" ht="15" hidden="false" customHeight="false" outlineLevel="0" collapsed="false">
      <c r="A21" s="8" t="s">
        <v>49</v>
      </c>
      <c r="B21" s="9"/>
      <c r="C21" s="9"/>
      <c r="D21" s="9"/>
      <c r="E21" s="9"/>
      <c r="F21" s="9"/>
    </row>
    <row r="22" customFormat="false" ht="15" hidden="false" customHeight="false" outlineLevel="0" collapsed="false">
      <c r="A22" s="10" t="s">
        <v>50</v>
      </c>
      <c r="C22" s="12" t="n">
        <f aca="false">SUMIFS('Revenue Build'!$C$40:$AL$40,'Revenue Build'!$C$3:$AL$3,C$3)</f>
        <v>905.493569552726</v>
      </c>
      <c r="D22" s="12" t="n">
        <f aca="false">SUMIFS('Revenue Build'!$C$40:$AL$40,'Revenue Build'!$C$3:$AL$3,D$3)</f>
        <v>1620.28157677693</v>
      </c>
      <c r="E22" s="12" t="n">
        <f aca="false">SUMIFS('Revenue Build'!$C$40:$AL$40,'Revenue Build'!$C$3:$AL$3,E$3)</f>
        <v>2900.41923093841</v>
      </c>
      <c r="F22" s="13"/>
    </row>
    <row r="23" customFormat="false" ht="15" hidden="false" customHeight="false" outlineLevel="0" collapsed="false">
      <c r="A23" s="10" t="s">
        <v>51</v>
      </c>
      <c r="C23" s="15" t="n">
        <f aca="false">-SUMIFS('Income Statement'!$C$14:$AL$14,'Income Statement'!$C$3:$AL$3,C$3)</f>
        <v>1089760.19609588</v>
      </c>
      <c r="D23" s="15" t="n">
        <f aca="false">-SUMIFS('Income Statement'!$C$14:$AL$14,'Income Statement'!$C$3:$AL$3,D$3)</f>
        <v>1743541.26400163</v>
      </c>
      <c r="E23" s="15" t="n">
        <f aca="false">-SUMIFS('Income Statement'!$C$14:$AL$14,'Income Statement'!$C$3:$AL$3,E$3)</f>
        <v>2875411.20611133</v>
      </c>
      <c r="F23" s="13"/>
    </row>
    <row r="24" customFormat="false" ht="15" hidden="false" customHeight="false" outlineLevel="0" collapsed="false">
      <c r="A24" s="10" t="s">
        <v>52</v>
      </c>
      <c r="C24" s="21" t="n">
        <f aca="false">IF(C22&gt;0,C23/C22,0)</f>
        <v>1203.49854790705</v>
      </c>
      <c r="D24" s="21" t="n">
        <f aca="false">IF(D22&gt;0,D23/D22,0)</f>
        <v>1076.07300421812</v>
      </c>
      <c r="E24" s="21" t="n">
        <f aca="false">IF(E22&gt;0,E23/E22,0)</f>
        <v>991.377789610439</v>
      </c>
      <c r="F24" s="13" t="s">
        <v>53</v>
      </c>
    </row>
    <row r="25" customFormat="false" ht="15" hidden="false" customHeight="false" outlineLevel="0" collapsed="false">
      <c r="A25" s="10" t="s">
        <v>54</v>
      </c>
      <c r="C25" s="22" t="n">
        <f aca="false">IF(SUMIFS('Revenue Build'!$C$39:$AL$39,'Revenue Build'!$C$3:$AL$3,C$3)&gt;0,-SUMIFS('Revenue Build'!$C$41:$AL$41,'Revenue Build'!$C$3:$AL$3,C$3)/SUMIFS('Revenue Build'!$C$39:$AL$39,'Revenue Build'!$C$3:$AL$3,C$3),0)</f>
        <v>0.0267389450361681</v>
      </c>
      <c r="D25" s="22" t="n">
        <f aca="false">IF(SUMIFS('Revenue Build'!$C$39:$AL$39,'Revenue Build'!$C$3:$AL$3,D$3)&gt;0,-SUMIFS('Revenue Build'!$C$41:$AL$41,'Revenue Build'!$C$3:$AL$3,D$3)/SUMIFS('Revenue Build'!$C$39:$AL$39,'Revenue Build'!$C$3:$AL$3,D$3),0)</f>
        <v>0.026541186220225</v>
      </c>
      <c r="E25" s="22" t="n">
        <f aca="false">IF(SUMIFS('Revenue Build'!$C$39:$AL$39,'Revenue Build'!$C$3:$AL$3,E$3)&gt;0,-SUMIFS('Revenue Build'!$C$41:$AL$41,'Revenue Build'!$C$3:$AL$3,E$3)/SUMIFS('Revenue Build'!$C$39:$AL$39,'Revenue Build'!$C$3:$AL$3,E$3),0)</f>
        <v>0.0264834133310965</v>
      </c>
      <c r="F25" s="13" t="s">
        <v>55</v>
      </c>
    </row>
    <row r="26" customFormat="false" ht="15" hidden="false" customHeight="false" outlineLevel="0" collapsed="false">
      <c r="A26" s="10" t="s">
        <v>56</v>
      </c>
      <c r="C26" s="21" t="n">
        <f aca="false">IF(C5&gt;0,C6/C5,0)</f>
        <v>128.842633335664</v>
      </c>
      <c r="D26" s="21" t="n">
        <f aca="false">IF(D5&gt;0,D6/D5,0)</f>
        <v>135.675710018699</v>
      </c>
      <c r="E26" s="21" t="n">
        <f aca="false">IF(E5&gt;0,E6/E5,0)</f>
        <v>138.808628047278</v>
      </c>
      <c r="F26" s="13"/>
    </row>
    <row r="27" customFormat="false" ht="15" hidden="false" customHeight="false" outlineLevel="0" collapsed="false">
      <c r="A27" s="10" t="s">
        <v>57</v>
      </c>
      <c r="C27" s="21" t="n">
        <f aca="false">IF(C25&gt;0,C26*C13/C25,0)</f>
        <v>3784.19251606619</v>
      </c>
      <c r="D27" s="21" t="n">
        <f aca="false">IF(D25&gt;0,D26*D13/D25,0)</f>
        <v>4037.9021491803</v>
      </c>
      <c r="E27" s="21" t="n">
        <f aca="false">IF(E25&gt;0,E26*E13/E25,0)</f>
        <v>4150.54025068236</v>
      </c>
      <c r="F27" s="13" t="s">
        <v>58</v>
      </c>
    </row>
    <row r="28" customFormat="false" ht="15" hidden="false" customHeight="false" outlineLevel="0" collapsed="false">
      <c r="A28" s="16" t="s">
        <v>59</v>
      </c>
      <c r="C28" s="23" t="n">
        <f aca="false">IF(C24&gt;0,C27/C24,0)</f>
        <v>3.1443266156383</v>
      </c>
      <c r="D28" s="23" t="n">
        <f aca="false">IF(D24&gt;0,D27/D24,0)</f>
        <v>3.75244256974391</v>
      </c>
      <c r="E28" s="23" t="n">
        <f aca="false">IF(E24&gt;0,E27/E24,0)</f>
        <v>4.18663832716418</v>
      </c>
      <c r="F28" s="13" t="s">
        <v>60</v>
      </c>
    </row>
    <row r="29" customFormat="false" ht="15" hidden="false" customHeight="false" outlineLevel="0" collapsed="false">
      <c r="A29" s="10" t="s">
        <v>61</v>
      </c>
      <c r="C29" s="24" t="n">
        <f aca="false">IF(C26*C13&gt;0,C24/(C26*C13),0)</f>
        <v>11.8940039832863</v>
      </c>
      <c r="D29" s="24" t="n">
        <f aca="false">IF(D26*D13&gt;0,D24/(D26*D13),0)</f>
        <v>10.0407375792917</v>
      </c>
      <c r="E29" s="24" t="n">
        <f aca="false">IF(E26*E13&gt;0,E24/(E26*E13),0)</f>
        <v>9.01904588378868</v>
      </c>
      <c r="F29" s="13" t="s">
        <v>62</v>
      </c>
    </row>
    <row r="30" customFormat="false" ht="15" hidden="false" customHeight="false" outlineLevel="0" collapsed="false">
      <c r="A30" s="10" t="s">
        <v>63</v>
      </c>
      <c r="C30" s="22" t="n">
        <f aca="false">IF(SUMIFS('Revenue Build'!$C$43:$AL$43,'Revenue Build'!$C$3:$AL$3,C$3)&gt;0,-(SUMIFS('Revenue Build'!$C$46:$AL$46,'Revenue Build'!$C$3:$AL$3,C$3)+SUMIFS('Revenue Build'!$C$45:$AL$45,'Revenue Build'!$C$3:$AL$3,C$3))/SUMIFS('Revenue Build'!$C$43:$AL$43,'Revenue Build'!$C$3:$AL$3,C$3),0)</f>
        <v>0.0113938147430815</v>
      </c>
      <c r="D30" s="22" t="n">
        <f aca="false">IF(SUMIFS('Revenue Build'!$C$43:$AL$43,'Revenue Build'!$C$3:$AL$3,D$3)&gt;0,-(SUMIFS('Revenue Build'!$C$46:$AL$46,'Revenue Build'!$C$3:$AL$3,D$3)+SUMIFS('Revenue Build'!$C$45:$AL$45,'Revenue Build'!$C$3:$AL$3,D$3))/SUMIFS('Revenue Build'!$C$43:$AL$43,'Revenue Build'!$C$3:$AL$3,D$3),0)</f>
        <v>0.0105693358153795</v>
      </c>
      <c r="E30" s="22" t="n">
        <f aca="false">IF(SUMIFS('Revenue Build'!$C$43:$AL$43,'Revenue Build'!$C$3:$AL$3,E$3)&gt;0,-(SUMIFS('Revenue Build'!$C$46:$AL$46,'Revenue Build'!$C$3:$AL$3,E$3)+SUMIFS('Revenue Build'!$C$45:$AL$45,'Revenue Build'!$C$3:$AL$3,E$3))/SUMIFS('Revenue Build'!$C$43:$AL$43,'Revenue Build'!$C$3:$AL$3,E$3),0)</f>
        <v>0.0103203317651757</v>
      </c>
      <c r="F30" s="13" t="s">
        <v>64</v>
      </c>
    </row>
    <row r="31" customFormat="false" ht="15" hidden="false" customHeight="false" outlineLevel="0" collapsed="false">
      <c r="A31" s="16" t="s">
        <v>65</v>
      </c>
      <c r="C31" s="25" t="str">
        <f aca="false">"n/a"</f>
        <v>n/a</v>
      </c>
      <c r="D31" s="25" t="n">
        <f aca="false">D10+D15</f>
        <v>1.6219238992789</v>
      </c>
      <c r="E31" s="25" t="n">
        <f aca="false">E10+E15</f>
        <v>1.04106152130363</v>
      </c>
      <c r="F31" s="13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4" t="s">
        <v>67</v>
      </c>
    </row>
    <row r="2" customFormat="false" ht="15" hidden="false" customHeight="false" outlineLevel="0" collapsed="false">
      <c r="A2" s="13" t="s">
        <v>68</v>
      </c>
    </row>
    <row r="4" customFormat="false" ht="15" hidden="false" customHeight="false" outlineLevel="0" collapsed="false">
      <c r="A4" s="5" t="s">
        <v>69</v>
      </c>
      <c r="B4" s="6" t="s">
        <v>70</v>
      </c>
      <c r="C4" s="6" t="s">
        <v>71</v>
      </c>
      <c r="D4" s="6" t="s">
        <v>72</v>
      </c>
      <c r="E4" s="6" t="s">
        <v>73</v>
      </c>
    </row>
    <row r="5" customFormat="false" ht="15" hidden="false" customHeight="false" outlineLevel="0" collapsed="false">
      <c r="A5" s="26" t="s">
        <v>74</v>
      </c>
      <c r="B5" s="27" t="n">
        <v>49</v>
      </c>
      <c r="C5" s="27" t="n">
        <v>199</v>
      </c>
      <c r="D5" s="27" t="n">
        <v>999</v>
      </c>
      <c r="E5" s="13" t="s">
        <v>75</v>
      </c>
    </row>
    <row r="6" customFormat="false" ht="15" hidden="false" customHeight="false" outlineLevel="0" collapsed="false">
      <c r="A6" s="26" t="s">
        <v>76</v>
      </c>
      <c r="B6" s="28" t="n">
        <v>40</v>
      </c>
      <c r="C6" s="28" t="n">
        <v>15</v>
      </c>
      <c r="D6" s="28" t="n">
        <v>2</v>
      </c>
      <c r="E6" s="13" t="s">
        <v>77</v>
      </c>
    </row>
    <row r="7" customFormat="false" ht="15" hidden="false" customHeight="false" outlineLevel="0" collapsed="false">
      <c r="A7" s="26" t="s">
        <v>78</v>
      </c>
      <c r="B7" s="29" t="n">
        <v>0.05</v>
      </c>
      <c r="C7" s="29" t="n">
        <v>0.05</v>
      </c>
      <c r="D7" s="29" t="n">
        <v>0.04</v>
      </c>
      <c r="E7" s="13" t="s">
        <v>79</v>
      </c>
    </row>
    <row r="8" customFormat="false" ht="15" hidden="false" customHeight="false" outlineLevel="0" collapsed="false">
      <c r="A8" s="26" t="s">
        <v>80</v>
      </c>
      <c r="B8" s="30" t="n">
        <v>0.03</v>
      </c>
      <c r="C8" s="30" t="n">
        <v>0.02</v>
      </c>
      <c r="D8" s="30" t="n">
        <v>0.01</v>
      </c>
      <c r="E8" s="13" t="s">
        <v>81</v>
      </c>
    </row>
    <row r="9" customFormat="false" ht="15" hidden="false" customHeight="false" outlineLevel="0" collapsed="false">
      <c r="A9" s="26" t="s">
        <v>82</v>
      </c>
      <c r="B9" s="31" t="n">
        <v>100</v>
      </c>
      <c r="C9" s="31" t="n">
        <v>30</v>
      </c>
      <c r="D9" s="31" t="n">
        <v>3</v>
      </c>
      <c r="E9" s="13" t="s">
        <v>83</v>
      </c>
    </row>
    <row r="10" customFormat="false" ht="15" hidden="false" customHeight="false" outlineLevel="0" collapsed="false">
      <c r="A10" s="26" t="s">
        <v>84</v>
      </c>
      <c r="B10" s="29" t="n">
        <v>0</v>
      </c>
      <c r="C10" s="29" t="n">
        <v>0.01</v>
      </c>
      <c r="D10" s="29" t="n">
        <v>0.015</v>
      </c>
      <c r="E10" s="13" t="s">
        <v>85</v>
      </c>
    </row>
    <row r="11" customFormat="false" ht="15" hidden="false" customHeight="false" outlineLevel="0" collapsed="false">
      <c r="A11" s="26" t="s">
        <v>86</v>
      </c>
      <c r="B11" s="27" t="n">
        <v>300</v>
      </c>
      <c r="C11" s="27" t="n">
        <v>1500</v>
      </c>
      <c r="D11" s="27" t="n">
        <v>12000</v>
      </c>
      <c r="E11" s="13" t="s">
        <v>87</v>
      </c>
    </row>
    <row r="13" customFormat="false" ht="15" hidden="false" customHeight="false" outlineLevel="0" collapsed="false">
      <c r="A13" s="5" t="s">
        <v>88</v>
      </c>
      <c r="B13" s="6" t="s">
        <v>89</v>
      </c>
      <c r="C13" s="6"/>
      <c r="D13" s="6"/>
      <c r="E13" s="6" t="s">
        <v>73</v>
      </c>
    </row>
    <row r="14" customFormat="false" ht="15" hidden="false" customHeight="false" outlineLevel="0" collapsed="false">
      <c r="A14" s="26" t="s">
        <v>90</v>
      </c>
      <c r="B14" s="29" t="n">
        <v>0.12</v>
      </c>
      <c r="E14" s="13" t="s">
        <v>91</v>
      </c>
    </row>
    <row r="15" customFormat="false" ht="15" hidden="false" customHeight="false" outlineLevel="0" collapsed="false">
      <c r="A15" s="26" t="s">
        <v>92</v>
      </c>
      <c r="B15" s="29" t="n">
        <v>0.03</v>
      </c>
      <c r="E15" s="13" t="s">
        <v>93</v>
      </c>
    </row>
    <row r="16" customFormat="false" ht="15" hidden="false" customHeight="false" outlineLevel="0" collapsed="false">
      <c r="A16" s="26" t="s">
        <v>94</v>
      </c>
      <c r="B16" s="32" t="n">
        <v>8</v>
      </c>
      <c r="E16" s="13" t="s">
        <v>95</v>
      </c>
    </row>
    <row r="17" customFormat="false" ht="15" hidden="false" customHeight="false" outlineLevel="0" collapsed="false">
      <c r="A17" s="26" t="s">
        <v>96</v>
      </c>
      <c r="B17" s="32" t="n">
        <v>15000</v>
      </c>
      <c r="E17" s="13" t="s">
        <v>97</v>
      </c>
    </row>
    <row r="18" customFormat="false" ht="15" hidden="false" customHeight="false" outlineLevel="0" collapsed="false">
      <c r="A18" s="26" t="s">
        <v>98</v>
      </c>
      <c r="B18" s="27" t="n">
        <v>60000</v>
      </c>
      <c r="E18" s="13" t="s">
        <v>99</v>
      </c>
    </row>
    <row r="19" customFormat="false" ht="15" hidden="false" customHeight="false" outlineLevel="0" collapsed="false">
      <c r="A19" s="26" t="s">
        <v>100</v>
      </c>
      <c r="B19" s="29" t="n">
        <v>0.015</v>
      </c>
      <c r="E19" s="13" t="s">
        <v>101</v>
      </c>
    </row>
    <row r="20" customFormat="false" ht="15" hidden="false" customHeight="false" outlineLevel="0" collapsed="false">
      <c r="A20" s="26" t="s">
        <v>102</v>
      </c>
      <c r="B20" s="32" t="n">
        <v>25000</v>
      </c>
      <c r="E20" s="13" t="s">
        <v>103</v>
      </c>
    </row>
    <row r="21" customFormat="false" ht="15" hidden="false" customHeight="false" outlineLevel="0" collapsed="false">
      <c r="A21" s="26" t="s">
        <v>104</v>
      </c>
      <c r="B21" s="29" t="n">
        <v>0.01</v>
      </c>
      <c r="E21" s="13"/>
    </row>
    <row r="22" customFormat="false" ht="15" hidden="false" customHeight="false" outlineLevel="0" collapsed="false">
      <c r="A22" s="26" t="s">
        <v>105</v>
      </c>
      <c r="B22" s="32" t="n">
        <v>5000</v>
      </c>
      <c r="E22" s="13" t="s">
        <v>106</v>
      </c>
    </row>
    <row r="23" customFormat="false" ht="15" hidden="false" customHeight="false" outlineLevel="0" collapsed="false">
      <c r="A23" s="26" t="s">
        <v>107</v>
      </c>
      <c r="B23" s="31" t="n">
        <v>36</v>
      </c>
      <c r="E23" s="13" t="s">
        <v>108</v>
      </c>
    </row>
    <row r="24" customFormat="false" ht="15" hidden="false" customHeight="false" outlineLevel="0" collapsed="false">
      <c r="A24" s="26" t="s">
        <v>109</v>
      </c>
      <c r="B24" s="29" t="n">
        <v>0.21</v>
      </c>
      <c r="E24" s="13" t="s">
        <v>110</v>
      </c>
    </row>
    <row r="26" customFormat="false" ht="15" hidden="false" customHeight="false" outlineLevel="0" collapsed="false">
      <c r="A26" s="5" t="s">
        <v>111</v>
      </c>
      <c r="B26" s="6" t="s">
        <v>89</v>
      </c>
      <c r="C26" s="6"/>
      <c r="D26" s="6"/>
      <c r="E26" s="6" t="s">
        <v>73</v>
      </c>
    </row>
    <row r="27" customFormat="false" ht="15" hidden="false" customHeight="false" outlineLevel="0" collapsed="false">
      <c r="A27" s="26" t="s">
        <v>112</v>
      </c>
      <c r="B27" s="27" t="n">
        <v>2000000</v>
      </c>
      <c r="E27" s="13" t="s">
        <v>113</v>
      </c>
    </row>
    <row r="28" customFormat="false" ht="15" hidden="false" customHeight="false" outlineLevel="0" collapsed="false">
      <c r="A28" s="26" t="s">
        <v>114</v>
      </c>
      <c r="B28" s="31" t="n">
        <v>30</v>
      </c>
      <c r="E28" s="13" t="s">
        <v>115</v>
      </c>
    </row>
    <row r="29" customFormat="false" ht="15" hidden="false" customHeight="false" outlineLevel="0" collapsed="false">
      <c r="A29" s="26" t="s">
        <v>116</v>
      </c>
      <c r="B29" s="27" t="n">
        <v>3000000</v>
      </c>
      <c r="E29" s="13" t="s">
        <v>117</v>
      </c>
    </row>
    <row r="30" customFormat="false" ht="15" hidden="false" customHeight="false" outlineLevel="0" collapsed="false">
      <c r="A30" s="26" t="s">
        <v>118</v>
      </c>
      <c r="B30" s="31" t="n">
        <v>13</v>
      </c>
      <c r="E30" s="13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8" min="3" style="0" width="11"/>
  </cols>
  <sheetData>
    <row r="1" customFormat="false" ht="17.35" hidden="false" customHeight="false" outlineLevel="0" collapsed="false">
      <c r="A1" s="4" t="s">
        <v>120</v>
      </c>
    </row>
    <row r="2" customFormat="false" ht="15" hidden="false" customHeight="false" outlineLevel="0" collapsed="false">
      <c r="A2" s="5" t="s">
        <v>121</v>
      </c>
      <c r="B2" s="6" t="n">
        <v>0</v>
      </c>
      <c r="C2" s="6" t="n">
        <f aca="false">B2+1</f>
        <v>1</v>
      </c>
      <c r="D2" s="6" t="n">
        <f aca="false">C2+1</f>
        <v>2</v>
      </c>
      <c r="E2" s="6" t="n">
        <f aca="false">D2+1</f>
        <v>3</v>
      </c>
      <c r="F2" s="6" t="n">
        <f aca="false">E2+1</f>
        <v>4</v>
      </c>
      <c r="G2" s="6" t="n">
        <f aca="false">F2+1</f>
        <v>5</v>
      </c>
      <c r="H2" s="6" t="n">
        <f aca="false">G2+1</f>
        <v>6</v>
      </c>
      <c r="I2" s="6" t="n">
        <f aca="false">H2+1</f>
        <v>7</v>
      </c>
      <c r="J2" s="6" t="n">
        <f aca="false">I2+1</f>
        <v>8</v>
      </c>
      <c r="K2" s="6" t="n">
        <f aca="false">J2+1</f>
        <v>9</v>
      </c>
      <c r="L2" s="6" t="n">
        <f aca="false">K2+1</f>
        <v>10</v>
      </c>
      <c r="M2" s="6" t="n">
        <f aca="false">L2+1</f>
        <v>11</v>
      </c>
      <c r="N2" s="6" t="n">
        <f aca="false">M2+1</f>
        <v>12</v>
      </c>
      <c r="O2" s="6" t="n">
        <f aca="false">N2+1</f>
        <v>13</v>
      </c>
      <c r="P2" s="6" t="n">
        <f aca="false">O2+1</f>
        <v>14</v>
      </c>
      <c r="Q2" s="6" t="n">
        <f aca="false">P2+1</f>
        <v>15</v>
      </c>
      <c r="R2" s="6" t="n">
        <f aca="false">Q2+1</f>
        <v>16</v>
      </c>
      <c r="S2" s="6" t="n">
        <f aca="false">R2+1</f>
        <v>17</v>
      </c>
      <c r="T2" s="6" t="n">
        <f aca="false">S2+1</f>
        <v>18</v>
      </c>
      <c r="U2" s="6" t="n">
        <f aca="false">T2+1</f>
        <v>19</v>
      </c>
      <c r="V2" s="6" t="n">
        <f aca="false">U2+1</f>
        <v>20</v>
      </c>
      <c r="W2" s="6" t="n">
        <f aca="false">V2+1</f>
        <v>21</v>
      </c>
      <c r="X2" s="6" t="n">
        <f aca="false">W2+1</f>
        <v>22</v>
      </c>
      <c r="Y2" s="6" t="n">
        <f aca="false">X2+1</f>
        <v>23</v>
      </c>
      <c r="Z2" s="6" t="n">
        <f aca="false">Y2+1</f>
        <v>24</v>
      </c>
      <c r="AA2" s="6" t="n">
        <f aca="false">Z2+1</f>
        <v>25</v>
      </c>
      <c r="AB2" s="6" t="n">
        <f aca="false">AA2+1</f>
        <v>26</v>
      </c>
      <c r="AC2" s="6" t="n">
        <f aca="false">AB2+1</f>
        <v>27</v>
      </c>
      <c r="AD2" s="6" t="n">
        <f aca="false">AC2+1</f>
        <v>28</v>
      </c>
      <c r="AE2" s="6" t="n">
        <f aca="false">AD2+1</f>
        <v>29</v>
      </c>
      <c r="AF2" s="6" t="n">
        <f aca="false">AE2+1</f>
        <v>30</v>
      </c>
      <c r="AG2" s="6" t="n">
        <f aca="false">AF2+1</f>
        <v>31</v>
      </c>
      <c r="AH2" s="6" t="n">
        <f aca="false">AG2+1</f>
        <v>32</v>
      </c>
      <c r="AI2" s="6" t="n">
        <f aca="false">AH2+1</f>
        <v>33</v>
      </c>
      <c r="AJ2" s="6" t="n">
        <f aca="false">AI2+1</f>
        <v>34</v>
      </c>
      <c r="AK2" s="6" t="n">
        <f aca="false">AJ2+1</f>
        <v>35</v>
      </c>
      <c r="AL2" s="6" t="n">
        <f aca="false">AK2+1</f>
        <v>36</v>
      </c>
    </row>
    <row r="3" customFormat="false" ht="15" hidden="false" customHeight="false" outlineLevel="0" collapsed="false">
      <c r="A3" s="5" t="s">
        <v>122</v>
      </c>
      <c r="B3" s="33"/>
      <c r="C3" s="34" t="n">
        <f aca="false">ROUNDUP(C2/12,0)</f>
        <v>1</v>
      </c>
      <c r="D3" s="34" t="n">
        <f aca="false">ROUNDUP(D2/12,0)</f>
        <v>1</v>
      </c>
      <c r="E3" s="34" t="n">
        <f aca="false">ROUNDUP(E2/12,0)</f>
        <v>1</v>
      </c>
      <c r="F3" s="34" t="n">
        <f aca="false">ROUNDUP(F2/12,0)</f>
        <v>1</v>
      </c>
      <c r="G3" s="34" t="n">
        <f aca="false">ROUNDUP(G2/12,0)</f>
        <v>1</v>
      </c>
      <c r="H3" s="34" t="n">
        <f aca="false">ROUNDUP(H2/12,0)</f>
        <v>1</v>
      </c>
      <c r="I3" s="34" t="n">
        <f aca="false">ROUNDUP(I2/12,0)</f>
        <v>1</v>
      </c>
      <c r="J3" s="34" t="n">
        <f aca="false">ROUNDUP(J2/12,0)</f>
        <v>1</v>
      </c>
      <c r="K3" s="34" t="n">
        <f aca="false">ROUNDUP(K2/12,0)</f>
        <v>1</v>
      </c>
      <c r="L3" s="34" t="n">
        <f aca="false">ROUNDUP(L2/12,0)</f>
        <v>1</v>
      </c>
      <c r="M3" s="34" t="n">
        <f aca="false">ROUNDUP(M2/12,0)</f>
        <v>1</v>
      </c>
      <c r="N3" s="34" t="n">
        <f aca="false">ROUNDUP(N2/12,0)</f>
        <v>1</v>
      </c>
      <c r="O3" s="34" t="n">
        <f aca="false">ROUNDUP(O2/12,0)</f>
        <v>2</v>
      </c>
      <c r="P3" s="34" t="n">
        <f aca="false">ROUNDUP(P2/12,0)</f>
        <v>2</v>
      </c>
      <c r="Q3" s="34" t="n">
        <f aca="false">ROUNDUP(Q2/12,0)</f>
        <v>2</v>
      </c>
      <c r="R3" s="34" t="n">
        <f aca="false">ROUNDUP(R2/12,0)</f>
        <v>2</v>
      </c>
      <c r="S3" s="34" t="n">
        <f aca="false">ROUNDUP(S2/12,0)</f>
        <v>2</v>
      </c>
      <c r="T3" s="34" t="n">
        <f aca="false">ROUNDUP(T2/12,0)</f>
        <v>2</v>
      </c>
      <c r="U3" s="34" t="n">
        <f aca="false">ROUNDUP(U2/12,0)</f>
        <v>2</v>
      </c>
      <c r="V3" s="34" t="n">
        <f aca="false">ROUNDUP(V2/12,0)</f>
        <v>2</v>
      </c>
      <c r="W3" s="34" t="n">
        <f aca="false">ROUNDUP(W2/12,0)</f>
        <v>2</v>
      </c>
      <c r="X3" s="34" t="n">
        <f aca="false">ROUNDUP(X2/12,0)</f>
        <v>2</v>
      </c>
      <c r="Y3" s="34" t="n">
        <f aca="false">ROUNDUP(Y2/12,0)</f>
        <v>2</v>
      </c>
      <c r="Z3" s="34" t="n">
        <f aca="false">ROUNDUP(Z2/12,0)</f>
        <v>2</v>
      </c>
      <c r="AA3" s="34" t="n">
        <f aca="false">ROUNDUP(AA2/12,0)</f>
        <v>3</v>
      </c>
      <c r="AB3" s="34" t="n">
        <f aca="false">ROUNDUP(AB2/12,0)</f>
        <v>3</v>
      </c>
      <c r="AC3" s="34" t="n">
        <f aca="false">ROUNDUP(AC2/12,0)</f>
        <v>3</v>
      </c>
      <c r="AD3" s="34" t="n">
        <f aca="false">ROUNDUP(AD2/12,0)</f>
        <v>3</v>
      </c>
      <c r="AE3" s="34" t="n">
        <f aca="false">ROUNDUP(AE2/12,0)</f>
        <v>3</v>
      </c>
      <c r="AF3" s="34" t="n">
        <f aca="false">ROUNDUP(AF2/12,0)</f>
        <v>3</v>
      </c>
      <c r="AG3" s="34" t="n">
        <f aca="false">ROUNDUP(AG2/12,0)</f>
        <v>3</v>
      </c>
      <c r="AH3" s="34" t="n">
        <f aca="false">ROUNDUP(AH2/12,0)</f>
        <v>3</v>
      </c>
      <c r="AI3" s="34" t="n">
        <f aca="false">ROUNDUP(AI2/12,0)</f>
        <v>3</v>
      </c>
      <c r="AJ3" s="34" t="n">
        <f aca="false">ROUNDUP(AJ2/12,0)</f>
        <v>3</v>
      </c>
      <c r="AK3" s="34" t="n">
        <f aca="false">ROUNDUP(AK2/12,0)</f>
        <v>3</v>
      </c>
      <c r="AL3" s="34" t="n">
        <f aca="false">ROUNDUP(AL2/12,0)</f>
        <v>3</v>
      </c>
    </row>
    <row r="5" customFormat="false" ht="15" hidden="false" customHeight="false" outlineLevel="0" collapsed="false">
      <c r="A5" s="8" t="s">
        <v>123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customFormat="false" ht="15" hidden="false" customHeight="false" outlineLevel="0" collapsed="false">
      <c r="A6" s="10" t="s">
        <v>124</v>
      </c>
      <c r="C6" s="35" t="n">
        <f aca="false">B9</f>
        <v>100</v>
      </c>
      <c r="D6" s="35" t="n">
        <f aca="false">C9</f>
        <v>137</v>
      </c>
      <c r="E6" s="35" t="n">
        <f aca="false">D9</f>
        <v>174.89</v>
      </c>
      <c r="F6" s="35" t="n">
        <f aca="false">E9</f>
        <v>213.7433</v>
      </c>
      <c r="G6" s="35" t="n">
        <f aca="false">F9</f>
        <v>253.636001</v>
      </c>
      <c r="H6" s="35" t="n">
        <f aca="false">G9</f>
        <v>294.64717097</v>
      </c>
      <c r="I6" s="35" t="n">
        <f aca="false">H9</f>
        <v>336.8590183409</v>
      </c>
      <c r="J6" s="35" t="n">
        <f aca="false">I9</f>
        <v>380.357073415673</v>
      </c>
      <c r="K6" s="35" t="n">
        <f aca="false">J9</f>
        <v>425.230378119453</v>
      </c>
      <c r="L6" s="35" t="n">
        <f aca="false">K9</f>
        <v>471.571684527432</v>
      </c>
      <c r="M6" s="35" t="n">
        <f aca="false">L9</f>
        <v>519.47766263075</v>
      </c>
      <c r="N6" s="35" t="n">
        <f aca="false">M9</f>
        <v>569.049117822925</v>
      </c>
      <c r="O6" s="35" t="n">
        <f aca="false">N9</f>
        <v>620.39121861289</v>
      </c>
      <c r="P6" s="35" t="n">
        <f aca="false">O9</f>
        <v>673.613735095388</v>
      </c>
      <c r="Q6" s="35" t="n">
        <f aca="false">P9</f>
        <v>728.831288735456</v>
      </c>
      <c r="R6" s="35" t="n">
        <f aca="false">Q9</f>
        <v>786.163614050968</v>
      </c>
      <c r="S6" s="35" t="n">
        <f aca="false">R9</f>
        <v>845.735832805894</v>
      </c>
      <c r="T6" s="35" t="n">
        <f aca="false">S9</f>
        <v>907.678741356995</v>
      </c>
      <c r="U6" s="35" t="n">
        <f aca="false">T9</f>
        <v>972.129111828326</v>
      </c>
      <c r="V6" s="35" t="n">
        <f aca="false">U9</f>
        <v>1039.23000782112</v>
      </c>
      <c r="W6" s="35" t="n">
        <f aca="false">V9</f>
        <v>1109.13111540151</v>
      </c>
      <c r="X6" s="35" t="n">
        <f aca="false">W9</f>
        <v>1181.98909014524</v>
      </c>
      <c r="Y6" s="35" t="n">
        <f aca="false">X9</f>
        <v>1257.96792105695</v>
      </c>
      <c r="Z6" s="35" t="n">
        <f aca="false">Y9</f>
        <v>1337.23931222211</v>
      </c>
      <c r="AA6" s="35" t="n">
        <f aca="false">Z9</f>
        <v>1419.98308309216</v>
      </c>
      <c r="AB6" s="35" t="n">
        <f aca="false">AA9</f>
        <v>1506.38758834795</v>
      </c>
      <c r="AC6" s="35" t="n">
        <f aca="false">AB9</f>
        <v>1596.65015833348</v>
      </c>
      <c r="AD6" s="35" t="n">
        <f aca="false">AC9</f>
        <v>1690.97756110125</v>
      </c>
      <c r="AE6" s="35" t="n">
        <f aca="false">AD9</f>
        <v>1789.58648716188</v>
      </c>
      <c r="AF6" s="35" t="n">
        <f aca="false">AE9</f>
        <v>1892.70405808537</v>
      </c>
      <c r="AG6" s="35" t="n">
        <f aca="false">AF9</f>
        <v>2000.56836015807</v>
      </c>
      <c r="AH6" s="35" t="n">
        <f aca="false">AG9</f>
        <v>2113.42900435935</v>
      </c>
      <c r="AI6" s="35" t="n">
        <f aca="false">AH9</f>
        <v>2231.5477139849</v>
      </c>
      <c r="AJ6" s="35" t="n">
        <f aca="false">AI9</f>
        <v>2355.1989413095</v>
      </c>
      <c r="AK6" s="35" t="n">
        <f aca="false">AJ9</f>
        <v>2484.67051475157</v>
      </c>
      <c r="AL6" s="35" t="n">
        <f aca="false">AK9</f>
        <v>2620.26431807444</v>
      </c>
    </row>
    <row r="7" customFormat="false" ht="15" hidden="false" customHeight="false" outlineLevel="0" collapsed="false">
      <c r="A7" s="10" t="s">
        <v>125</v>
      </c>
      <c r="C7" s="11" t="n">
        <f aca="false">Assumptions!$B$6*(1+Assumptions!$B$7)^(C$2-1)</f>
        <v>40</v>
      </c>
      <c r="D7" s="11" t="n">
        <f aca="false">Assumptions!$B$6*(1+Assumptions!$B$7)^(D$2-1)</f>
        <v>42</v>
      </c>
      <c r="E7" s="11" t="n">
        <f aca="false">Assumptions!$B$6*(1+Assumptions!$B$7)^(E$2-1)</f>
        <v>44.1</v>
      </c>
      <c r="F7" s="11" t="n">
        <f aca="false">Assumptions!$B$6*(1+Assumptions!$B$7)^(F$2-1)</f>
        <v>46.305</v>
      </c>
      <c r="G7" s="11" t="n">
        <f aca="false">Assumptions!$B$6*(1+Assumptions!$B$7)^(G$2-1)</f>
        <v>48.62025</v>
      </c>
      <c r="H7" s="11" t="n">
        <f aca="false">Assumptions!$B$6*(1+Assumptions!$B$7)^(H$2-1)</f>
        <v>51.0512625</v>
      </c>
      <c r="I7" s="11" t="n">
        <f aca="false">Assumptions!$B$6*(1+Assumptions!$B$7)^(I$2-1)</f>
        <v>53.603825625</v>
      </c>
      <c r="J7" s="11" t="n">
        <f aca="false">Assumptions!$B$6*(1+Assumptions!$B$7)^(J$2-1)</f>
        <v>56.28401690625</v>
      </c>
      <c r="K7" s="11" t="n">
        <f aca="false">Assumptions!$B$6*(1+Assumptions!$B$7)^(K$2-1)</f>
        <v>59.0982177515625</v>
      </c>
      <c r="L7" s="11" t="n">
        <f aca="false">Assumptions!$B$6*(1+Assumptions!$B$7)^(L$2-1)</f>
        <v>62.0531286391407</v>
      </c>
      <c r="M7" s="11" t="n">
        <f aca="false">Assumptions!$B$6*(1+Assumptions!$B$7)^(M$2-1)</f>
        <v>65.1557850710977</v>
      </c>
      <c r="N7" s="11" t="n">
        <f aca="false">Assumptions!$B$6*(1+Assumptions!$B$7)^(N$2-1)</f>
        <v>68.4135743246526</v>
      </c>
      <c r="O7" s="11" t="n">
        <f aca="false">Assumptions!$B$6*(1+Assumptions!$B$7)^(O$2-1)</f>
        <v>71.8342530408852</v>
      </c>
      <c r="P7" s="11" t="n">
        <f aca="false">Assumptions!$B$6*(1+Assumptions!$B$7)^(P$2-1)</f>
        <v>75.4259656929295</v>
      </c>
      <c r="Q7" s="11" t="n">
        <f aca="false">Assumptions!$B$6*(1+Assumptions!$B$7)^(Q$2-1)</f>
        <v>79.1972639775759</v>
      </c>
      <c r="R7" s="11" t="n">
        <f aca="false">Assumptions!$B$6*(1+Assumptions!$B$7)^(R$2-1)</f>
        <v>83.1571271764548</v>
      </c>
      <c r="S7" s="11" t="n">
        <f aca="false">Assumptions!$B$6*(1+Assumptions!$B$7)^(S$2-1)</f>
        <v>87.3149835352775</v>
      </c>
      <c r="T7" s="11" t="n">
        <f aca="false">Assumptions!$B$6*(1+Assumptions!$B$7)^(T$2-1)</f>
        <v>91.6807327120414</v>
      </c>
      <c r="U7" s="11" t="n">
        <f aca="false">Assumptions!$B$6*(1+Assumptions!$B$7)^(U$2-1)</f>
        <v>96.2647693476434</v>
      </c>
      <c r="V7" s="11" t="n">
        <f aca="false">Assumptions!$B$6*(1+Assumptions!$B$7)^(V$2-1)</f>
        <v>101.078007815026</v>
      </c>
      <c r="W7" s="11" t="n">
        <f aca="false">Assumptions!$B$6*(1+Assumptions!$B$7)^(W$2-1)</f>
        <v>106.131908205777</v>
      </c>
      <c r="X7" s="11" t="n">
        <f aca="false">Assumptions!$B$6*(1+Assumptions!$B$7)^(X$2-1)</f>
        <v>111.438503616066</v>
      </c>
      <c r="Y7" s="11" t="n">
        <f aca="false">Assumptions!$B$6*(1+Assumptions!$B$7)^(Y$2-1)</f>
        <v>117.010428796869</v>
      </c>
      <c r="Z7" s="11" t="n">
        <f aca="false">Assumptions!$B$6*(1+Assumptions!$B$7)^(Z$2-1)</f>
        <v>122.860950236713</v>
      </c>
      <c r="AA7" s="11" t="n">
        <f aca="false">Assumptions!$B$6*(1+Assumptions!$B$7)^(AA$2-1)</f>
        <v>129.003997748548</v>
      </c>
      <c r="AB7" s="11" t="n">
        <f aca="false">Assumptions!$B$6*(1+Assumptions!$B$7)^(AB$2-1)</f>
        <v>135.454197635976</v>
      </c>
      <c r="AC7" s="11" t="n">
        <f aca="false">Assumptions!$B$6*(1+Assumptions!$B$7)^(AC$2-1)</f>
        <v>142.226907517774</v>
      </c>
      <c r="AD7" s="11" t="n">
        <f aca="false">Assumptions!$B$6*(1+Assumptions!$B$7)^(AD$2-1)</f>
        <v>149.338252893663</v>
      </c>
      <c r="AE7" s="11" t="n">
        <f aca="false">Assumptions!$B$6*(1+Assumptions!$B$7)^(AE$2-1)</f>
        <v>156.805165538346</v>
      </c>
      <c r="AF7" s="11" t="n">
        <f aca="false">Assumptions!$B$6*(1+Assumptions!$B$7)^(AF$2-1)</f>
        <v>164.645423815264</v>
      </c>
      <c r="AG7" s="11" t="n">
        <f aca="false">Assumptions!$B$6*(1+Assumptions!$B$7)^(AG$2-1)</f>
        <v>172.877695006027</v>
      </c>
      <c r="AH7" s="11" t="n">
        <f aca="false">Assumptions!$B$6*(1+Assumptions!$B$7)^(AH$2-1)</f>
        <v>181.521579756328</v>
      </c>
      <c r="AI7" s="11" t="n">
        <f aca="false">Assumptions!$B$6*(1+Assumptions!$B$7)^(AI$2-1)</f>
        <v>190.597658744144</v>
      </c>
      <c r="AJ7" s="11" t="n">
        <f aca="false">Assumptions!$B$6*(1+Assumptions!$B$7)^(AJ$2-1)</f>
        <v>200.127541681352</v>
      </c>
      <c r="AK7" s="11" t="n">
        <f aca="false">Assumptions!$B$6*(1+Assumptions!$B$7)^(AK$2-1)</f>
        <v>210.133918765419</v>
      </c>
      <c r="AL7" s="11" t="n">
        <f aca="false">Assumptions!$B$6*(1+Assumptions!$B$7)^(AL$2-1)</f>
        <v>220.64061470369</v>
      </c>
    </row>
    <row r="8" customFormat="false" ht="15" hidden="false" customHeight="false" outlineLevel="0" collapsed="false">
      <c r="A8" s="10" t="s">
        <v>126</v>
      </c>
      <c r="C8" s="11" t="n">
        <f aca="false">-C6*Assumptions!$B$8</f>
        <v>-3</v>
      </c>
      <c r="D8" s="11" t="n">
        <f aca="false">-D6*Assumptions!$B$8</f>
        <v>-4.11</v>
      </c>
      <c r="E8" s="11" t="n">
        <f aca="false">-E6*Assumptions!$B$8</f>
        <v>-5.2467</v>
      </c>
      <c r="F8" s="11" t="n">
        <f aca="false">-F6*Assumptions!$B$8</f>
        <v>-6.412299</v>
      </c>
      <c r="G8" s="11" t="n">
        <f aca="false">-G6*Assumptions!$B$8</f>
        <v>-7.60908003</v>
      </c>
      <c r="H8" s="11" t="n">
        <f aca="false">-H6*Assumptions!$B$8</f>
        <v>-8.8394151291</v>
      </c>
      <c r="I8" s="11" t="n">
        <f aca="false">-I6*Assumptions!$B$8</f>
        <v>-10.105770550227</v>
      </c>
      <c r="J8" s="11" t="n">
        <f aca="false">-J6*Assumptions!$B$8</f>
        <v>-11.4107122024702</v>
      </c>
      <c r="K8" s="11" t="n">
        <f aca="false">-K6*Assumptions!$B$8</f>
        <v>-12.7569113435836</v>
      </c>
      <c r="L8" s="11" t="n">
        <f aca="false">-L6*Assumptions!$B$8</f>
        <v>-14.147150535823</v>
      </c>
      <c r="M8" s="11" t="n">
        <f aca="false">-M6*Assumptions!$B$8</f>
        <v>-15.5843298789225</v>
      </c>
      <c r="N8" s="11" t="n">
        <f aca="false">-N6*Assumptions!$B$8</f>
        <v>-17.0714735346877</v>
      </c>
      <c r="O8" s="11" t="n">
        <f aca="false">-O6*Assumptions!$B$8</f>
        <v>-18.6117365583867</v>
      </c>
      <c r="P8" s="11" t="n">
        <f aca="false">-P6*Assumptions!$B$8</f>
        <v>-20.2084120528616</v>
      </c>
      <c r="Q8" s="11" t="n">
        <f aca="false">-Q6*Assumptions!$B$8</f>
        <v>-21.8649386620637</v>
      </c>
      <c r="R8" s="11" t="n">
        <f aca="false">-R6*Assumptions!$B$8</f>
        <v>-23.584908421529</v>
      </c>
      <c r="S8" s="11" t="n">
        <f aca="false">-S6*Assumptions!$B$8</f>
        <v>-25.3720749841768</v>
      </c>
      <c r="T8" s="11" t="n">
        <f aca="false">-T6*Assumptions!$B$8</f>
        <v>-27.2303622407098</v>
      </c>
      <c r="U8" s="11" t="n">
        <f aca="false">-U6*Assumptions!$B$8</f>
        <v>-29.1638733548498</v>
      </c>
      <c r="V8" s="11" t="n">
        <f aca="false">-V6*Assumptions!$B$8</f>
        <v>-31.1769002346336</v>
      </c>
      <c r="W8" s="11" t="n">
        <f aca="false">-W6*Assumptions!$B$8</f>
        <v>-33.2739334620454</v>
      </c>
      <c r="X8" s="11" t="n">
        <f aca="false">-X6*Assumptions!$B$8</f>
        <v>-35.4596727043573</v>
      </c>
      <c r="Y8" s="11" t="n">
        <f aca="false">-Y6*Assumptions!$B$8</f>
        <v>-37.7390376317086</v>
      </c>
      <c r="Z8" s="11" t="n">
        <f aca="false">-Z6*Assumptions!$B$8</f>
        <v>-40.1171793666634</v>
      </c>
      <c r="AA8" s="11" t="n">
        <f aca="false">-AA6*Assumptions!$B$8</f>
        <v>-42.5994924927648</v>
      </c>
      <c r="AB8" s="11" t="n">
        <f aca="false">-AB6*Assumptions!$B$8</f>
        <v>-45.1916276504384</v>
      </c>
      <c r="AC8" s="11" t="n">
        <f aca="false">-AC6*Assumptions!$B$8</f>
        <v>-47.8995047500045</v>
      </c>
      <c r="AD8" s="11" t="n">
        <f aca="false">-AD6*Assumptions!$B$8</f>
        <v>-50.7293268330376</v>
      </c>
      <c r="AE8" s="11" t="n">
        <f aca="false">-AE6*Assumptions!$B$8</f>
        <v>-53.6875946148563</v>
      </c>
      <c r="AF8" s="11" t="n">
        <f aca="false">-AF6*Assumptions!$B$8</f>
        <v>-56.781121742561</v>
      </c>
      <c r="AG8" s="11" t="n">
        <f aca="false">-AG6*Assumptions!$B$8</f>
        <v>-60.0170508047421</v>
      </c>
      <c r="AH8" s="11" t="n">
        <f aca="false">-AH6*Assumptions!$B$8</f>
        <v>-63.4028701307806</v>
      </c>
      <c r="AI8" s="11" t="n">
        <f aca="false">-AI6*Assumptions!$B$8</f>
        <v>-66.9464314195471</v>
      </c>
      <c r="AJ8" s="11" t="n">
        <f aca="false">-AJ6*Assumptions!$B$8</f>
        <v>-70.655968239285</v>
      </c>
      <c r="AK8" s="11" t="n">
        <f aca="false">-AK6*Assumptions!$B$8</f>
        <v>-74.540115442547</v>
      </c>
      <c r="AL8" s="11" t="n">
        <f aca="false">-AL6*Assumptions!$B$8</f>
        <v>-78.6079295422332</v>
      </c>
    </row>
    <row r="9" customFormat="false" ht="15" hidden="false" customHeight="false" outlineLevel="0" collapsed="false">
      <c r="A9" s="36" t="s">
        <v>24</v>
      </c>
      <c r="B9" s="37" t="n">
        <f aca="false">Assumptions!B9</f>
        <v>100</v>
      </c>
      <c r="C9" s="38" t="n">
        <f aca="false">SUM(C6:C8)</f>
        <v>137</v>
      </c>
      <c r="D9" s="38" t="n">
        <f aca="false">SUM(D6:D8)</f>
        <v>174.89</v>
      </c>
      <c r="E9" s="38" t="n">
        <f aca="false">SUM(E6:E8)</f>
        <v>213.7433</v>
      </c>
      <c r="F9" s="38" t="n">
        <f aca="false">SUM(F6:F8)</f>
        <v>253.636001</v>
      </c>
      <c r="G9" s="38" t="n">
        <f aca="false">SUM(G6:G8)</f>
        <v>294.64717097</v>
      </c>
      <c r="H9" s="38" t="n">
        <f aca="false">SUM(H6:H8)</f>
        <v>336.8590183409</v>
      </c>
      <c r="I9" s="38" t="n">
        <f aca="false">SUM(I6:I8)</f>
        <v>380.357073415673</v>
      </c>
      <c r="J9" s="38" t="n">
        <f aca="false">SUM(J6:J8)</f>
        <v>425.230378119453</v>
      </c>
      <c r="K9" s="38" t="n">
        <f aca="false">SUM(K6:K8)</f>
        <v>471.571684527432</v>
      </c>
      <c r="L9" s="38" t="n">
        <f aca="false">SUM(L6:L8)</f>
        <v>519.47766263075</v>
      </c>
      <c r="M9" s="38" t="n">
        <f aca="false">SUM(M6:M8)</f>
        <v>569.049117822925</v>
      </c>
      <c r="N9" s="38" t="n">
        <f aca="false">SUM(N6:N8)</f>
        <v>620.39121861289</v>
      </c>
      <c r="O9" s="38" t="n">
        <f aca="false">SUM(O6:O8)</f>
        <v>673.613735095388</v>
      </c>
      <c r="P9" s="38" t="n">
        <f aca="false">SUM(P6:P8)</f>
        <v>728.831288735456</v>
      </c>
      <c r="Q9" s="38" t="n">
        <f aca="false">SUM(Q6:Q8)</f>
        <v>786.163614050968</v>
      </c>
      <c r="R9" s="38" t="n">
        <f aca="false">SUM(R6:R8)</f>
        <v>845.735832805894</v>
      </c>
      <c r="S9" s="38" t="n">
        <f aca="false">SUM(S6:S8)</f>
        <v>907.678741356995</v>
      </c>
      <c r="T9" s="38" t="n">
        <f aca="false">SUM(T6:T8)</f>
        <v>972.129111828326</v>
      </c>
      <c r="U9" s="38" t="n">
        <f aca="false">SUM(U6:U8)</f>
        <v>1039.23000782112</v>
      </c>
      <c r="V9" s="38" t="n">
        <f aca="false">SUM(V6:V8)</f>
        <v>1109.13111540151</v>
      </c>
      <c r="W9" s="38" t="n">
        <f aca="false">SUM(W6:W8)</f>
        <v>1181.98909014524</v>
      </c>
      <c r="X9" s="38" t="n">
        <f aca="false">SUM(X6:X8)</f>
        <v>1257.96792105695</v>
      </c>
      <c r="Y9" s="38" t="n">
        <f aca="false">SUM(Y6:Y8)</f>
        <v>1337.23931222211</v>
      </c>
      <c r="Z9" s="38" t="n">
        <f aca="false">SUM(Z6:Z8)</f>
        <v>1419.98308309216</v>
      </c>
      <c r="AA9" s="38" t="n">
        <f aca="false">SUM(AA6:AA8)</f>
        <v>1506.38758834795</v>
      </c>
      <c r="AB9" s="38" t="n">
        <f aca="false">SUM(AB6:AB8)</f>
        <v>1596.65015833348</v>
      </c>
      <c r="AC9" s="38" t="n">
        <f aca="false">SUM(AC6:AC8)</f>
        <v>1690.97756110125</v>
      </c>
      <c r="AD9" s="38" t="n">
        <f aca="false">SUM(AD6:AD8)</f>
        <v>1789.58648716188</v>
      </c>
      <c r="AE9" s="38" t="n">
        <f aca="false">SUM(AE6:AE8)</f>
        <v>1892.70405808537</v>
      </c>
      <c r="AF9" s="38" t="n">
        <f aca="false">SUM(AF6:AF8)</f>
        <v>2000.56836015807</v>
      </c>
      <c r="AG9" s="38" t="n">
        <f aca="false">SUM(AG6:AG8)</f>
        <v>2113.42900435935</v>
      </c>
      <c r="AH9" s="38" t="n">
        <f aca="false">SUM(AH6:AH8)</f>
        <v>2231.5477139849</v>
      </c>
      <c r="AI9" s="38" t="n">
        <f aca="false">SUM(AI6:AI8)</f>
        <v>2355.1989413095</v>
      </c>
      <c r="AJ9" s="38" t="n">
        <f aca="false">SUM(AJ6:AJ8)</f>
        <v>2484.67051475157</v>
      </c>
      <c r="AK9" s="38" t="n">
        <f aca="false">SUM(AK6:AK8)</f>
        <v>2620.26431807444</v>
      </c>
      <c r="AL9" s="38" t="n">
        <f aca="false">SUM(AL6:AL8)</f>
        <v>2762.2970032359</v>
      </c>
    </row>
    <row r="10" customFormat="false" ht="15" hidden="false" customHeight="false" outlineLevel="0" collapsed="false">
      <c r="A10" s="10" t="s">
        <v>127</v>
      </c>
      <c r="C10" s="39" t="n">
        <f aca="false">B14</f>
        <v>4900</v>
      </c>
      <c r="D10" s="39" t="n">
        <f aca="false">C14</f>
        <v>6713</v>
      </c>
      <c r="E10" s="39" t="n">
        <f aca="false">D14</f>
        <v>8569.61</v>
      </c>
      <c r="F10" s="39" t="n">
        <f aca="false">E14</f>
        <v>10473.4217</v>
      </c>
      <c r="G10" s="39" t="n">
        <f aca="false">F14</f>
        <v>12428.164049</v>
      </c>
      <c r="H10" s="39" t="n">
        <f aca="false">G14</f>
        <v>14437.71137753</v>
      </c>
      <c r="I10" s="39" t="n">
        <f aca="false">H14</f>
        <v>16506.0918987041</v>
      </c>
      <c r="J10" s="39" t="n">
        <f aca="false">I14</f>
        <v>18637.496597368</v>
      </c>
      <c r="K10" s="39" t="n">
        <f aca="false">J14</f>
        <v>20836.2885278532</v>
      </c>
      <c r="L10" s="39" t="n">
        <f aca="false">K14</f>
        <v>23107.0125418442</v>
      </c>
      <c r="M10" s="39" t="n">
        <f aca="false">L14</f>
        <v>25454.4054689067</v>
      </c>
      <c r="N10" s="39" t="n">
        <f aca="false">M14</f>
        <v>27883.4067733233</v>
      </c>
      <c r="O10" s="39" t="n">
        <f aca="false">N14</f>
        <v>30399.1697120316</v>
      </c>
      <c r="P10" s="39" t="n">
        <f aca="false">O14</f>
        <v>33007.073019674</v>
      </c>
      <c r="Q10" s="39" t="n">
        <f aca="false">P14</f>
        <v>35712.7331480373</v>
      </c>
      <c r="R10" s="39" t="n">
        <f aca="false">Q14</f>
        <v>38522.0170884974</v>
      </c>
      <c r="S10" s="39" t="n">
        <f aca="false">R14</f>
        <v>41441.0558074888</v>
      </c>
      <c r="T10" s="39" t="n">
        <f aca="false">S14</f>
        <v>44476.2583264927</v>
      </c>
      <c r="U10" s="39" t="n">
        <f aca="false">T14</f>
        <v>47634.326479588</v>
      </c>
      <c r="V10" s="39" t="n">
        <f aca="false">U14</f>
        <v>50922.2703832349</v>
      </c>
      <c r="W10" s="39" t="n">
        <f aca="false">V14</f>
        <v>54347.4246546741</v>
      </c>
      <c r="X10" s="39" t="n">
        <f aca="false">W14</f>
        <v>57917.4654171169</v>
      </c>
      <c r="Y10" s="39" t="n">
        <f aca="false">X14</f>
        <v>61640.4281317906</v>
      </c>
      <c r="Z10" s="39" t="n">
        <f aca="false">Y14</f>
        <v>65524.7262988835</v>
      </c>
      <c r="AA10" s="39" t="n">
        <f aca="false">Z14</f>
        <v>69579.1710715159</v>
      </c>
      <c r="AB10" s="39" t="n">
        <f aca="false">AA14</f>
        <v>73812.9918290493</v>
      </c>
      <c r="AC10" s="39" t="n">
        <f aca="false">AB14</f>
        <v>78235.8577583406</v>
      </c>
      <c r="AD10" s="39" t="n">
        <f aca="false">AC14</f>
        <v>82857.9004939613</v>
      </c>
      <c r="AE10" s="39" t="n">
        <f aca="false">AD14</f>
        <v>87689.737870932</v>
      </c>
      <c r="AF10" s="39" t="n">
        <f aca="false">AE14</f>
        <v>92742.498846183</v>
      </c>
      <c r="AG10" s="39" t="n">
        <f aca="false">AF14</f>
        <v>98027.8496477454</v>
      </c>
      <c r="AH10" s="39" t="n">
        <f aca="false">AG14</f>
        <v>103558.021213608</v>
      </c>
      <c r="AI10" s="39" t="n">
        <f aca="false">AH14</f>
        <v>109345.83798526</v>
      </c>
      <c r="AJ10" s="39" t="n">
        <f aca="false">AI14</f>
        <v>115404.748124165</v>
      </c>
      <c r="AK10" s="39" t="n">
        <f aca="false">AJ14</f>
        <v>121748.855222827</v>
      </c>
      <c r="AL10" s="39" t="n">
        <f aca="false">AK14</f>
        <v>128392.951585647</v>
      </c>
    </row>
    <row r="11" customFormat="false" ht="15" hidden="false" customHeight="false" outlineLevel="0" collapsed="false">
      <c r="A11" s="10" t="s">
        <v>128</v>
      </c>
      <c r="C11" s="14" t="n">
        <f aca="false">C7*Assumptions!$B$5</f>
        <v>1960</v>
      </c>
      <c r="D11" s="14" t="n">
        <f aca="false">D7*Assumptions!$B$5</f>
        <v>2058</v>
      </c>
      <c r="E11" s="14" t="n">
        <f aca="false">E7*Assumptions!$B$5</f>
        <v>2160.9</v>
      </c>
      <c r="F11" s="14" t="n">
        <f aca="false">F7*Assumptions!$B$5</f>
        <v>2268.945</v>
      </c>
      <c r="G11" s="14" t="n">
        <f aca="false">G7*Assumptions!$B$5</f>
        <v>2382.39225</v>
      </c>
      <c r="H11" s="14" t="n">
        <f aca="false">H7*Assumptions!$B$5</f>
        <v>2501.5118625</v>
      </c>
      <c r="I11" s="14" t="n">
        <f aca="false">I7*Assumptions!$B$5</f>
        <v>2626.587455625</v>
      </c>
      <c r="J11" s="14" t="n">
        <f aca="false">J7*Assumptions!$B$5</f>
        <v>2757.91682840625</v>
      </c>
      <c r="K11" s="14" t="n">
        <f aca="false">K7*Assumptions!$B$5</f>
        <v>2895.81266982656</v>
      </c>
      <c r="L11" s="14" t="n">
        <f aca="false">L7*Assumptions!$B$5</f>
        <v>3040.60330331789</v>
      </c>
      <c r="M11" s="14" t="n">
        <f aca="false">M7*Assumptions!$B$5</f>
        <v>3192.63346848379</v>
      </c>
      <c r="N11" s="14" t="n">
        <f aca="false">N7*Assumptions!$B$5</f>
        <v>3352.26514190798</v>
      </c>
      <c r="O11" s="14" t="n">
        <f aca="false">O7*Assumptions!$B$5</f>
        <v>3519.87839900338</v>
      </c>
      <c r="P11" s="14" t="n">
        <f aca="false">P7*Assumptions!$B$5</f>
        <v>3695.87231895354</v>
      </c>
      <c r="Q11" s="14" t="n">
        <f aca="false">Q7*Assumptions!$B$5</f>
        <v>3880.66593490122</v>
      </c>
      <c r="R11" s="14" t="n">
        <f aca="false">R7*Assumptions!$B$5</f>
        <v>4074.69923164628</v>
      </c>
      <c r="S11" s="14" t="n">
        <f aca="false">S7*Assumptions!$B$5</f>
        <v>4278.4341932286</v>
      </c>
      <c r="T11" s="14" t="n">
        <f aca="false">T7*Assumptions!$B$5</f>
        <v>4492.35590289003</v>
      </c>
      <c r="U11" s="14" t="n">
        <f aca="false">U7*Assumptions!$B$5</f>
        <v>4716.97369803453</v>
      </c>
      <c r="V11" s="14" t="n">
        <f aca="false">V7*Assumptions!$B$5</f>
        <v>4952.82238293626</v>
      </c>
      <c r="W11" s="14" t="n">
        <f aca="false">W7*Assumptions!$B$5</f>
        <v>5200.46350208307</v>
      </c>
      <c r="X11" s="14" t="n">
        <f aca="false">X7*Assumptions!$B$5</f>
        <v>5460.48667718722</v>
      </c>
      <c r="Y11" s="14" t="n">
        <f aca="false">Y7*Assumptions!$B$5</f>
        <v>5733.51101104658</v>
      </c>
      <c r="Z11" s="14" t="n">
        <f aca="false">Z7*Assumptions!$B$5</f>
        <v>6020.18656159891</v>
      </c>
      <c r="AA11" s="14" t="n">
        <f aca="false">AA7*Assumptions!$B$5</f>
        <v>6321.19588967886</v>
      </c>
      <c r="AB11" s="14" t="n">
        <f aca="false">AB7*Assumptions!$B$5</f>
        <v>6637.2556841628</v>
      </c>
      <c r="AC11" s="14" t="n">
        <f aca="false">AC7*Assumptions!$B$5</f>
        <v>6969.11846837094</v>
      </c>
      <c r="AD11" s="14" t="n">
        <f aca="false">AD7*Assumptions!$B$5</f>
        <v>7317.57439178949</v>
      </c>
      <c r="AE11" s="14" t="n">
        <f aca="false">AE7*Assumptions!$B$5</f>
        <v>7683.45311137896</v>
      </c>
      <c r="AF11" s="14" t="n">
        <f aca="false">AF7*Assumptions!$B$5</f>
        <v>8067.62576694791</v>
      </c>
      <c r="AG11" s="14" t="n">
        <f aca="false">AG7*Assumptions!$B$5</f>
        <v>8471.00705529531</v>
      </c>
      <c r="AH11" s="14" t="n">
        <f aca="false">AH7*Assumptions!$B$5</f>
        <v>8894.55740806008</v>
      </c>
      <c r="AI11" s="14" t="n">
        <f aca="false">AI7*Assumptions!$B$5</f>
        <v>9339.28527846308</v>
      </c>
      <c r="AJ11" s="14" t="n">
        <f aca="false">AJ7*Assumptions!$B$5</f>
        <v>9806.24954238623</v>
      </c>
      <c r="AK11" s="14" t="n">
        <f aca="false">AK7*Assumptions!$B$5</f>
        <v>10296.5620195055</v>
      </c>
      <c r="AL11" s="14" t="n">
        <f aca="false">AL7*Assumptions!$B$5</f>
        <v>10811.3901204808</v>
      </c>
    </row>
    <row r="12" customFormat="false" ht="15" hidden="false" customHeight="false" outlineLevel="0" collapsed="false">
      <c r="A12" s="10" t="s">
        <v>129</v>
      </c>
      <c r="C12" s="14" t="n">
        <f aca="false">C10*Assumptions!$B$10</f>
        <v>0</v>
      </c>
      <c r="D12" s="14" t="n">
        <f aca="false">D10*Assumptions!$B$10</f>
        <v>0</v>
      </c>
      <c r="E12" s="14" t="n">
        <f aca="false">E10*Assumptions!$B$10</f>
        <v>0</v>
      </c>
      <c r="F12" s="14" t="n">
        <f aca="false">F10*Assumptions!$B$10</f>
        <v>0</v>
      </c>
      <c r="G12" s="14" t="n">
        <f aca="false">G10*Assumptions!$B$10</f>
        <v>0</v>
      </c>
      <c r="H12" s="14" t="n">
        <f aca="false">H10*Assumptions!$B$10</f>
        <v>0</v>
      </c>
      <c r="I12" s="14" t="n">
        <f aca="false">I10*Assumptions!$B$10</f>
        <v>0</v>
      </c>
      <c r="J12" s="14" t="n">
        <f aca="false">J10*Assumptions!$B$10</f>
        <v>0</v>
      </c>
      <c r="K12" s="14" t="n">
        <f aca="false">K10*Assumptions!$B$10</f>
        <v>0</v>
      </c>
      <c r="L12" s="14" t="n">
        <f aca="false">L10*Assumptions!$B$10</f>
        <v>0</v>
      </c>
      <c r="M12" s="14" t="n">
        <f aca="false">M10*Assumptions!$B$10</f>
        <v>0</v>
      </c>
      <c r="N12" s="14" t="n">
        <f aca="false">N10*Assumptions!$B$10</f>
        <v>0</v>
      </c>
      <c r="O12" s="14" t="n">
        <f aca="false">O10*Assumptions!$B$10</f>
        <v>0</v>
      </c>
      <c r="P12" s="14" t="n">
        <f aca="false">P10*Assumptions!$B$10</f>
        <v>0</v>
      </c>
      <c r="Q12" s="14" t="n">
        <f aca="false">Q10*Assumptions!$B$10</f>
        <v>0</v>
      </c>
      <c r="R12" s="14" t="n">
        <f aca="false">R10*Assumptions!$B$10</f>
        <v>0</v>
      </c>
      <c r="S12" s="14" t="n">
        <f aca="false">S10*Assumptions!$B$10</f>
        <v>0</v>
      </c>
      <c r="T12" s="14" t="n">
        <f aca="false">T10*Assumptions!$B$10</f>
        <v>0</v>
      </c>
      <c r="U12" s="14" t="n">
        <f aca="false">U10*Assumptions!$B$10</f>
        <v>0</v>
      </c>
      <c r="V12" s="14" t="n">
        <f aca="false">V10*Assumptions!$B$10</f>
        <v>0</v>
      </c>
      <c r="W12" s="14" t="n">
        <f aca="false">W10*Assumptions!$B$10</f>
        <v>0</v>
      </c>
      <c r="X12" s="14" t="n">
        <f aca="false">X10*Assumptions!$B$10</f>
        <v>0</v>
      </c>
      <c r="Y12" s="14" t="n">
        <f aca="false">Y10*Assumptions!$B$10</f>
        <v>0</v>
      </c>
      <c r="Z12" s="14" t="n">
        <f aca="false">Z10*Assumptions!$B$10</f>
        <v>0</v>
      </c>
      <c r="AA12" s="14" t="n">
        <f aca="false">AA10*Assumptions!$B$10</f>
        <v>0</v>
      </c>
      <c r="AB12" s="14" t="n">
        <f aca="false">AB10*Assumptions!$B$10</f>
        <v>0</v>
      </c>
      <c r="AC12" s="14" t="n">
        <f aca="false">AC10*Assumptions!$B$10</f>
        <v>0</v>
      </c>
      <c r="AD12" s="14" t="n">
        <f aca="false">AD10*Assumptions!$B$10</f>
        <v>0</v>
      </c>
      <c r="AE12" s="14" t="n">
        <f aca="false">AE10*Assumptions!$B$10</f>
        <v>0</v>
      </c>
      <c r="AF12" s="14" t="n">
        <f aca="false">AF10*Assumptions!$B$10</f>
        <v>0</v>
      </c>
      <c r="AG12" s="14" t="n">
        <f aca="false">AG10*Assumptions!$B$10</f>
        <v>0</v>
      </c>
      <c r="AH12" s="14" t="n">
        <f aca="false">AH10*Assumptions!$B$10</f>
        <v>0</v>
      </c>
      <c r="AI12" s="14" t="n">
        <f aca="false">AI10*Assumptions!$B$10</f>
        <v>0</v>
      </c>
      <c r="AJ12" s="14" t="n">
        <f aca="false">AJ10*Assumptions!$B$10</f>
        <v>0</v>
      </c>
      <c r="AK12" s="14" t="n">
        <f aca="false">AK10*Assumptions!$B$10</f>
        <v>0</v>
      </c>
      <c r="AL12" s="14" t="n">
        <f aca="false">AL10*Assumptions!$B$10</f>
        <v>0</v>
      </c>
    </row>
    <row r="13" customFormat="false" ht="15" hidden="false" customHeight="false" outlineLevel="0" collapsed="false">
      <c r="A13" s="10" t="s">
        <v>130</v>
      </c>
      <c r="C13" s="14" t="n">
        <f aca="false">-C10*Assumptions!$B$8</f>
        <v>-147</v>
      </c>
      <c r="D13" s="14" t="n">
        <f aca="false">-D10*Assumptions!$B$8</f>
        <v>-201.39</v>
      </c>
      <c r="E13" s="14" t="n">
        <f aca="false">-E10*Assumptions!$B$8</f>
        <v>-257.0883</v>
      </c>
      <c r="F13" s="14" t="n">
        <f aca="false">-F10*Assumptions!$B$8</f>
        <v>-314.202651</v>
      </c>
      <c r="G13" s="14" t="n">
        <f aca="false">-G10*Assumptions!$B$8</f>
        <v>-372.84492147</v>
      </c>
      <c r="H13" s="14" t="n">
        <f aca="false">-H10*Assumptions!$B$8</f>
        <v>-433.1313413259</v>
      </c>
      <c r="I13" s="14" t="n">
        <f aca="false">-I10*Assumptions!$B$8</f>
        <v>-495.182756961123</v>
      </c>
      <c r="J13" s="14" t="n">
        <f aca="false">-J10*Assumptions!$B$8</f>
        <v>-559.124897921039</v>
      </c>
      <c r="K13" s="14" t="n">
        <f aca="false">-K10*Assumptions!$B$8</f>
        <v>-625.088655835596</v>
      </c>
      <c r="L13" s="14" t="n">
        <f aca="false">-L10*Assumptions!$B$8</f>
        <v>-693.210376255325</v>
      </c>
      <c r="M13" s="14" t="n">
        <f aca="false">-M10*Assumptions!$B$8</f>
        <v>-763.632164067202</v>
      </c>
      <c r="N13" s="14" t="n">
        <f aca="false">-N10*Assumptions!$B$8</f>
        <v>-836.502203199699</v>
      </c>
      <c r="O13" s="14" t="n">
        <f aca="false">-O10*Assumptions!$B$8</f>
        <v>-911.975091360948</v>
      </c>
      <c r="P13" s="14" t="n">
        <f aca="false">-P10*Assumptions!$B$8</f>
        <v>-990.212190590221</v>
      </c>
      <c r="Q13" s="14" t="n">
        <f aca="false">-Q10*Assumptions!$B$8</f>
        <v>-1071.38199444112</v>
      </c>
      <c r="R13" s="14" t="n">
        <f aca="false">-R10*Assumptions!$B$8</f>
        <v>-1155.66051265492</v>
      </c>
      <c r="S13" s="14" t="n">
        <f aca="false">-S10*Assumptions!$B$8</f>
        <v>-1243.23167422466</v>
      </c>
      <c r="T13" s="14" t="n">
        <f aca="false">-T10*Assumptions!$B$8</f>
        <v>-1334.28774979478</v>
      </c>
      <c r="U13" s="14" t="n">
        <f aca="false">-U10*Assumptions!$B$8</f>
        <v>-1429.02979438764</v>
      </c>
      <c r="V13" s="14" t="n">
        <f aca="false">-V10*Assumptions!$B$8</f>
        <v>-1527.66811149705</v>
      </c>
      <c r="W13" s="14" t="n">
        <f aca="false">-W10*Assumptions!$B$8</f>
        <v>-1630.42273964022</v>
      </c>
      <c r="X13" s="14" t="n">
        <f aca="false">-X10*Assumptions!$B$8</f>
        <v>-1737.52396251351</v>
      </c>
      <c r="Y13" s="14" t="n">
        <f aca="false">-Y10*Assumptions!$B$8</f>
        <v>-1849.21284395372</v>
      </c>
      <c r="Z13" s="14" t="n">
        <f aca="false">-Z10*Assumptions!$B$8</f>
        <v>-1965.7417889665</v>
      </c>
      <c r="AA13" s="14" t="n">
        <f aca="false">-AA10*Assumptions!$B$8</f>
        <v>-2087.37513214548</v>
      </c>
      <c r="AB13" s="14" t="n">
        <f aca="false">-AB10*Assumptions!$B$8</f>
        <v>-2214.38975487148</v>
      </c>
      <c r="AC13" s="14" t="n">
        <f aca="false">-AC10*Assumptions!$B$8</f>
        <v>-2347.07573275022</v>
      </c>
      <c r="AD13" s="14" t="n">
        <f aca="false">-AD10*Assumptions!$B$8</f>
        <v>-2485.73701481884</v>
      </c>
      <c r="AE13" s="14" t="n">
        <f aca="false">-AE10*Assumptions!$B$8</f>
        <v>-2630.69213612796</v>
      </c>
      <c r="AF13" s="14" t="n">
        <f aca="false">-AF10*Assumptions!$B$8</f>
        <v>-2782.27496538549</v>
      </c>
      <c r="AG13" s="14" t="n">
        <f aca="false">-AG10*Assumptions!$B$8</f>
        <v>-2940.83548943236</v>
      </c>
      <c r="AH13" s="14" t="n">
        <f aca="false">-AH10*Assumptions!$B$8</f>
        <v>-3106.74063640825</v>
      </c>
      <c r="AI13" s="14" t="n">
        <f aca="false">-AI10*Assumptions!$B$8</f>
        <v>-3280.37513955781</v>
      </c>
      <c r="AJ13" s="14" t="n">
        <f aca="false">-AJ10*Assumptions!$B$8</f>
        <v>-3462.14244372496</v>
      </c>
      <c r="AK13" s="14" t="n">
        <f aca="false">-AK10*Assumptions!$B$8</f>
        <v>-3652.4656566848</v>
      </c>
      <c r="AL13" s="14" t="n">
        <f aca="false">-AL10*Assumptions!$B$8</f>
        <v>-3851.78854756942</v>
      </c>
    </row>
    <row r="14" customFormat="false" ht="15" hidden="false" customHeight="false" outlineLevel="0" collapsed="false">
      <c r="A14" s="36" t="s">
        <v>26</v>
      </c>
      <c r="B14" s="40" t="n">
        <f aca="false">B9*Assumptions!B5</f>
        <v>4900</v>
      </c>
      <c r="C14" s="40" t="n">
        <f aca="false">SUM(C10:C13)</f>
        <v>6713</v>
      </c>
      <c r="D14" s="40" t="n">
        <f aca="false">SUM(D10:D13)</f>
        <v>8569.61</v>
      </c>
      <c r="E14" s="40" t="n">
        <f aca="false">SUM(E10:E13)</f>
        <v>10473.4217</v>
      </c>
      <c r="F14" s="40" t="n">
        <f aca="false">SUM(F10:F13)</f>
        <v>12428.164049</v>
      </c>
      <c r="G14" s="40" t="n">
        <f aca="false">SUM(G10:G13)</f>
        <v>14437.71137753</v>
      </c>
      <c r="H14" s="40" t="n">
        <f aca="false">SUM(H10:H13)</f>
        <v>16506.0918987041</v>
      </c>
      <c r="I14" s="40" t="n">
        <f aca="false">SUM(I10:I13)</f>
        <v>18637.496597368</v>
      </c>
      <c r="J14" s="40" t="n">
        <f aca="false">SUM(J10:J13)</f>
        <v>20836.2885278532</v>
      </c>
      <c r="K14" s="40" t="n">
        <f aca="false">SUM(K10:K13)</f>
        <v>23107.0125418442</v>
      </c>
      <c r="L14" s="40" t="n">
        <f aca="false">SUM(L10:L13)</f>
        <v>25454.4054689067</v>
      </c>
      <c r="M14" s="40" t="n">
        <f aca="false">SUM(M10:M13)</f>
        <v>27883.4067733233</v>
      </c>
      <c r="N14" s="40" t="n">
        <f aca="false">SUM(N10:N13)</f>
        <v>30399.1697120316</v>
      </c>
      <c r="O14" s="40" t="n">
        <f aca="false">SUM(O10:O13)</f>
        <v>33007.073019674</v>
      </c>
      <c r="P14" s="40" t="n">
        <f aca="false">SUM(P10:P13)</f>
        <v>35712.7331480373</v>
      </c>
      <c r="Q14" s="40" t="n">
        <f aca="false">SUM(Q10:Q13)</f>
        <v>38522.0170884974</v>
      </c>
      <c r="R14" s="40" t="n">
        <f aca="false">SUM(R10:R13)</f>
        <v>41441.0558074888</v>
      </c>
      <c r="S14" s="40" t="n">
        <f aca="false">SUM(S10:S13)</f>
        <v>44476.2583264927</v>
      </c>
      <c r="T14" s="40" t="n">
        <f aca="false">SUM(T10:T13)</f>
        <v>47634.326479588</v>
      </c>
      <c r="U14" s="40" t="n">
        <f aca="false">SUM(U10:U13)</f>
        <v>50922.2703832349</v>
      </c>
      <c r="V14" s="40" t="n">
        <f aca="false">SUM(V10:V13)</f>
        <v>54347.4246546741</v>
      </c>
      <c r="W14" s="40" t="n">
        <f aca="false">SUM(W10:W13)</f>
        <v>57917.4654171169</v>
      </c>
      <c r="X14" s="40" t="n">
        <f aca="false">SUM(X10:X13)</f>
        <v>61640.4281317906</v>
      </c>
      <c r="Y14" s="40" t="n">
        <f aca="false">SUM(Y10:Y13)</f>
        <v>65524.7262988835</v>
      </c>
      <c r="Z14" s="40" t="n">
        <f aca="false">SUM(Z10:Z13)</f>
        <v>69579.1710715159</v>
      </c>
      <c r="AA14" s="40" t="n">
        <f aca="false">SUM(AA10:AA13)</f>
        <v>73812.9918290493</v>
      </c>
      <c r="AB14" s="40" t="n">
        <f aca="false">SUM(AB10:AB13)</f>
        <v>78235.8577583406</v>
      </c>
      <c r="AC14" s="40" t="n">
        <f aca="false">SUM(AC10:AC13)</f>
        <v>82857.9004939613</v>
      </c>
      <c r="AD14" s="40" t="n">
        <f aca="false">SUM(AD10:AD13)</f>
        <v>87689.737870932</v>
      </c>
      <c r="AE14" s="40" t="n">
        <f aca="false">SUM(AE10:AE13)</f>
        <v>92742.498846183</v>
      </c>
      <c r="AF14" s="40" t="n">
        <f aca="false">SUM(AF10:AF13)</f>
        <v>98027.8496477454</v>
      </c>
      <c r="AG14" s="40" t="n">
        <f aca="false">SUM(AG10:AG13)</f>
        <v>103558.021213608</v>
      </c>
      <c r="AH14" s="40" t="n">
        <f aca="false">SUM(AH10:AH13)</f>
        <v>109345.83798526</v>
      </c>
      <c r="AI14" s="40" t="n">
        <f aca="false">SUM(AI10:AI13)</f>
        <v>115404.748124165</v>
      </c>
      <c r="AJ14" s="40" t="n">
        <f aca="false">SUM(AJ10:AJ13)</f>
        <v>121748.855222827</v>
      </c>
      <c r="AK14" s="40" t="n">
        <f aca="false">SUM(AK10:AK13)</f>
        <v>128392.951585647</v>
      </c>
      <c r="AL14" s="40" t="n">
        <f aca="false">SUM(AL10:AL13)</f>
        <v>135352.553158559</v>
      </c>
    </row>
    <row r="16" customFormat="false" ht="15" hidden="false" customHeight="false" outlineLevel="0" collapsed="false">
      <c r="A16" s="8" t="s">
        <v>131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 customFormat="false" ht="15" hidden="false" customHeight="false" outlineLevel="0" collapsed="false">
      <c r="A17" s="10" t="s">
        <v>124</v>
      </c>
      <c r="C17" s="35" t="n">
        <f aca="false">B20</f>
        <v>30</v>
      </c>
      <c r="D17" s="35" t="n">
        <f aca="false">C20</f>
        <v>44.4</v>
      </c>
      <c r="E17" s="35" t="n">
        <f aca="false">D20</f>
        <v>59.262</v>
      </c>
      <c r="F17" s="35" t="n">
        <f aca="false">E20</f>
        <v>74.61426</v>
      </c>
      <c r="G17" s="35" t="n">
        <f aca="false">F20</f>
        <v>90.4863498</v>
      </c>
      <c r="H17" s="35" t="n">
        <f aca="false">G20</f>
        <v>106.909216554</v>
      </c>
      <c r="I17" s="35" t="n">
        <f aca="false">H20</f>
        <v>123.91525566042</v>
      </c>
      <c r="J17" s="35" t="n">
        <f aca="false">I20</f>
        <v>141.538385156587</v>
      </c>
      <c r="K17" s="35" t="n">
        <f aca="false">J20</f>
        <v>159.814123793299</v>
      </c>
      <c r="L17" s="35" t="n">
        <f aca="false">K20</f>
        <v>178.779672974269</v>
      </c>
      <c r="M17" s="35" t="n">
        <f aca="false">L20</f>
        <v>198.474002754461</v>
      </c>
      <c r="N17" s="35" t="n">
        <f aca="false">M20</f>
        <v>218.937942101033</v>
      </c>
      <c r="O17" s="35" t="n">
        <f aca="false">N20</f>
        <v>240.214273630757</v>
      </c>
      <c r="P17" s="35" t="n">
        <f aca="false">O20</f>
        <v>262.347833048474</v>
      </c>
      <c r="Q17" s="35" t="n">
        <f aca="false">P20</f>
        <v>285.385613522353</v>
      </c>
      <c r="R17" s="35" t="n">
        <f aca="false">Q20</f>
        <v>309.376875243497</v>
      </c>
      <c r="S17" s="35" t="n">
        <f aca="false">R20</f>
        <v>334.373260429798</v>
      </c>
      <c r="T17" s="35" t="n">
        <f aca="false">S20</f>
        <v>360.428914046931</v>
      </c>
      <c r="U17" s="35" t="n">
        <f aca="false">T20</f>
        <v>387.600610533008</v>
      </c>
      <c r="V17" s="35" t="n">
        <f aca="false">U20</f>
        <v>415.947886827714</v>
      </c>
      <c r="W17" s="35" t="n">
        <f aca="false">V20</f>
        <v>445.533182021794</v>
      </c>
      <c r="X17" s="35" t="n">
        <f aca="false">W20</f>
        <v>476.421983958525</v>
      </c>
      <c r="Y17" s="35" t="n">
        <f aca="false">X20</f>
        <v>508.682983135379</v>
      </c>
      <c r="Z17" s="35" t="n">
        <f aca="false">Y20</f>
        <v>542.388234271497</v>
      </c>
      <c r="AA17" s="35" t="n">
        <f aca="false">Z20</f>
        <v>577.613325924835</v>
      </c>
      <c r="AB17" s="35" t="n">
        <f aca="false">AA20</f>
        <v>614.437558562043</v>
      </c>
      <c r="AC17" s="35" t="n">
        <f aca="false">AB20</f>
        <v>652.944131504293</v>
      </c>
      <c r="AD17" s="35" t="n">
        <f aca="false">AC20</f>
        <v>693.220339193373</v>
      </c>
      <c r="AE17" s="35" t="n">
        <f aca="false">AD20</f>
        <v>735.357777244629</v>
      </c>
      <c r="AF17" s="35" t="n">
        <f aca="false">AE20</f>
        <v>779.452558776616</v>
      </c>
      <c r="AG17" s="35" t="n">
        <f aca="false">AF20</f>
        <v>825.605541531808</v>
      </c>
      <c r="AH17" s="35" t="n">
        <f aca="false">AG20</f>
        <v>873.922566328432</v>
      </c>
      <c r="AI17" s="35" t="n">
        <f aca="false">AH20</f>
        <v>924.514707410486</v>
      </c>
      <c r="AJ17" s="35" t="n">
        <f aca="false">AI20</f>
        <v>977.49853529133</v>
      </c>
      <c r="AK17" s="35" t="n">
        <f aca="false">AJ20</f>
        <v>1032.99639271601</v>
      </c>
      <c r="AL17" s="35" t="n">
        <f aca="false">AK20</f>
        <v>1091.13668439872</v>
      </c>
    </row>
    <row r="18" customFormat="false" ht="15" hidden="false" customHeight="false" outlineLevel="0" collapsed="false">
      <c r="A18" s="10" t="s">
        <v>125</v>
      </c>
      <c r="C18" s="11" t="n">
        <f aca="false">Assumptions!$C$6*(1+Assumptions!$C$7)^(C$2-1)</f>
        <v>15</v>
      </c>
      <c r="D18" s="11" t="n">
        <f aca="false">Assumptions!$C$6*(1+Assumptions!$C$7)^(D$2-1)</f>
        <v>15.75</v>
      </c>
      <c r="E18" s="11" t="n">
        <f aca="false">Assumptions!$C$6*(1+Assumptions!$C$7)^(E$2-1)</f>
        <v>16.5375</v>
      </c>
      <c r="F18" s="11" t="n">
        <f aca="false">Assumptions!$C$6*(1+Assumptions!$C$7)^(F$2-1)</f>
        <v>17.364375</v>
      </c>
      <c r="G18" s="11" t="n">
        <f aca="false">Assumptions!$C$6*(1+Assumptions!$C$7)^(G$2-1)</f>
        <v>18.23259375</v>
      </c>
      <c r="H18" s="11" t="n">
        <f aca="false">Assumptions!$C$6*(1+Assumptions!$C$7)^(H$2-1)</f>
        <v>19.1442234375</v>
      </c>
      <c r="I18" s="11" t="n">
        <f aca="false">Assumptions!$C$6*(1+Assumptions!$C$7)^(I$2-1)</f>
        <v>20.101434609375</v>
      </c>
      <c r="J18" s="11" t="n">
        <f aca="false">Assumptions!$C$6*(1+Assumptions!$C$7)^(J$2-1)</f>
        <v>21.1065063398438</v>
      </c>
      <c r="K18" s="11" t="n">
        <f aca="false">Assumptions!$C$6*(1+Assumptions!$C$7)^(K$2-1)</f>
        <v>22.1618316568359</v>
      </c>
      <c r="L18" s="11" t="n">
        <f aca="false">Assumptions!$C$6*(1+Assumptions!$C$7)^(L$2-1)</f>
        <v>23.2699232396777</v>
      </c>
      <c r="M18" s="11" t="n">
        <f aca="false">Assumptions!$C$6*(1+Assumptions!$C$7)^(M$2-1)</f>
        <v>24.4334194016616</v>
      </c>
      <c r="N18" s="11" t="n">
        <f aca="false">Assumptions!$C$6*(1+Assumptions!$C$7)^(N$2-1)</f>
        <v>25.6550903717447</v>
      </c>
      <c r="O18" s="11" t="n">
        <f aca="false">Assumptions!$C$6*(1+Assumptions!$C$7)^(O$2-1)</f>
        <v>26.937844890332</v>
      </c>
      <c r="P18" s="11" t="n">
        <f aca="false">Assumptions!$C$6*(1+Assumptions!$C$7)^(P$2-1)</f>
        <v>28.2847371348485</v>
      </c>
      <c r="Q18" s="11" t="n">
        <f aca="false">Assumptions!$C$6*(1+Assumptions!$C$7)^(Q$2-1)</f>
        <v>29.698973991591</v>
      </c>
      <c r="R18" s="11" t="n">
        <f aca="false">Assumptions!$C$6*(1+Assumptions!$C$7)^(R$2-1)</f>
        <v>31.1839226911705</v>
      </c>
      <c r="S18" s="11" t="n">
        <f aca="false">Assumptions!$C$6*(1+Assumptions!$C$7)^(S$2-1)</f>
        <v>32.7431188257291</v>
      </c>
      <c r="T18" s="11" t="n">
        <f aca="false">Assumptions!$C$6*(1+Assumptions!$C$7)^(T$2-1)</f>
        <v>34.3802747670155</v>
      </c>
      <c r="U18" s="11" t="n">
        <f aca="false">Assumptions!$C$6*(1+Assumptions!$C$7)^(U$2-1)</f>
        <v>36.0992885053663</v>
      </c>
      <c r="V18" s="11" t="n">
        <f aca="false">Assumptions!$C$6*(1+Assumptions!$C$7)^(V$2-1)</f>
        <v>37.9042529306346</v>
      </c>
      <c r="W18" s="11" t="n">
        <f aca="false">Assumptions!$C$6*(1+Assumptions!$C$7)^(W$2-1)</f>
        <v>39.7994655771663</v>
      </c>
      <c r="X18" s="11" t="n">
        <f aca="false">Assumptions!$C$6*(1+Assumptions!$C$7)^(X$2-1)</f>
        <v>41.7894388560247</v>
      </c>
      <c r="Y18" s="11" t="n">
        <f aca="false">Assumptions!$C$6*(1+Assumptions!$C$7)^(Y$2-1)</f>
        <v>43.8789107988259</v>
      </c>
      <c r="Z18" s="11" t="n">
        <f aca="false">Assumptions!$C$6*(1+Assumptions!$C$7)^(Z$2-1)</f>
        <v>46.0728563387672</v>
      </c>
      <c r="AA18" s="11" t="n">
        <f aca="false">Assumptions!$C$6*(1+Assumptions!$C$7)^(AA$2-1)</f>
        <v>48.3764991557055</v>
      </c>
      <c r="AB18" s="11" t="n">
        <f aca="false">Assumptions!$C$6*(1+Assumptions!$C$7)^(AB$2-1)</f>
        <v>50.7953241134908</v>
      </c>
      <c r="AC18" s="11" t="n">
        <f aca="false">Assumptions!$C$6*(1+Assumptions!$C$7)^(AC$2-1)</f>
        <v>53.3350903191654</v>
      </c>
      <c r="AD18" s="11" t="n">
        <f aca="false">Assumptions!$C$6*(1+Assumptions!$C$7)^(AD$2-1)</f>
        <v>56.0018448351236</v>
      </c>
      <c r="AE18" s="11" t="n">
        <f aca="false">Assumptions!$C$6*(1+Assumptions!$C$7)^(AE$2-1)</f>
        <v>58.8019370768798</v>
      </c>
      <c r="AF18" s="11" t="n">
        <f aca="false">Assumptions!$C$6*(1+Assumptions!$C$7)^(AF$2-1)</f>
        <v>61.7420339307238</v>
      </c>
      <c r="AG18" s="11" t="n">
        <f aca="false">Assumptions!$C$6*(1+Assumptions!$C$7)^(AG$2-1)</f>
        <v>64.82913562726</v>
      </c>
      <c r="AH18" s="11" t="n">
        <f aca="false">Assumptions!$C$6*(1+Assumptions!$C$7)^(AH$2-1)</f>
        <v>68.070592408623</v>
      </c>
      <c r="AI18" s="11" t="n">
        <f aca="false">Assumptions!$C$6*(1+Assumptions!$C$7)^(AI$2-1)</f>
        <v>71.4741220290542</v>
      </c>
      <c r="AJ18" s="11" t="n">
        <f aca="false">Assumptions!$C$6*(1+Assumptions!$C$7)^(AJ$2-1)</f>
        <v>75.0478281305069</v>
      </c>
      <c r="AK18" s="11" t="n">
        <f aca="false">Assumptions!$C$6*(1+Assumptions!$C$7)^(AK$2-1)</f>
        <v>78.8002195370322</v>
      </c>
      <c r="AL18" s="11" t="n">
        <f aca="false">Assumptions!$C$6*(1+Assumptions!$C$7)^(AL$2-1)</f>
        <v>82.7402305138838</v>
      </c>
    </row>
    <row r="19" customFormat="false" ht="15" hidden="false" customHeight="false" outlineLevel="0" collapsed="false">
      <c r="A19" s="10" t="s">
        <v>126</v>
      </c>
      <c r="C19" s="11" t="n">
        <f aca="false">-C17*Assumptions!$C$8</f>
        <v>-0.6</v>
      </c>
      <c r="D19" s="11" t="n">
        <f aca="false">-D17*Assumptions!$C$8</f>
        <v>-0.888</v>
      </c>
      <c r="E19" s="11" t="n">
        <f aca="false">-E17*Assumptions!$C$8</f>
        <v>-1.18524</v>
      </c>
      <c r="F19" s="11" t="n">
        <f aca="false">-F17*Assumptions!$C$8</f>
        <v>-1.4922852</v>
      </c>
      <c r="G19" s="11" t="n">
        <f aca="false">-G17*Assumptions!$C$8</f>
        <v>-1.809726996</v>
      </c>
      <c r="H19" s="11" t="n">
        <f aca="false">-H17*Assumptions!$C$8</f>
        <v>-2.13818433108</v>
      </c>
      <c r="I19" s="11" t="n">
        <f aca="false">-I17*Assumptions!$C$8</f>
        <v>-2.4783051132084</v>
      </c>
      <c r="J19" s="11" t="n">
        <f aca="false">-J17*Assumptions!$C$8</f>
        <v>-2.83076770313173</v>
      </c>
      <c r="K19" s="11" t="n">
        <f aca="false">-K17*Assumptions!$C$8</f>
        <v>-3.19628247586597</v>
      </c>
      <c r="L19" s="11" t="n">
        <f aca="false">-L17*Assumptions!$C$8</f>
        <v>-3.57559345948537</v>
      </c>
      <c r="M19" s="11" t="n">
        <f aca="false">-M17*Assumptions!$C$8</f>
        <v>-3.96948005508922</v>
      </c>
      <c r="N19" s="11" t="n">
        <f aca="false">-N17*Assumptions!$C$8</f>
        <v>-4.37875884202067</v>
      </c>
      <c r="O19" s="11" t="n">
        <f aca="false">-O17*Assumptions!$C$8</f>
        <v>-4.80428547261515</v>
      </c>
      <c r="P19" s="11" t="n">
        <f aca="false">-P17*Assumptions!$C$8</f>
        <v>-5.24695666096949</v>
      </c>
      <c r="Q19" s="11" t="n">
        <f aca="false">-Q17*Assumptions!$C$8</f>
        <v>-5.70771227044707</v>
      </c>
      <c r="R19" s="11" t="n">
        <f aca="false">-R17*Assumptions!$C$8</f>
        <v>-6.18753750486995</v>
      </c>
      <c r="S19" s="11" t="n">
        <f aca="false">-S17*Assumptions!$C$8</f>
        <v>-6.68746520859596</v>
      </c>
      <c r="T19" s="11" t="n">
        <f aca="false">-T17*Assumptions!$C$8</f>
        <v>-7.20857828093862</v>
      </c>
      <c r="U19" s="11" t="n">
        <f aca="false">-U17*Assumptions!$C$8</f>
        <v>-7.75201221066016</v>
      </c>
      <c r="V19" s="11" t="n">
        <f aca="false">-V17*Assumptions!$C$8</f>
        <v>-8.31895773655428</v>
      </c>
      <c r="W19" s="11" t="n">
        <f aca="false">-W17*Assumptions!$C$8</f>
        <v>-8.91066364043589</v>
      </c>
      <c r="X19" s="11" t="n">
        <f aca="false">-X17*Assumptions!$C$8</f>
        <v>-9.5284396791705</v>
      </c>
      <c r="Y19" s="11" t="n">
        <f aca="false">-Y17*Assumptions!$C$8</f>
        <v>-10.1736596627076</v>
      </c>
      <c r="Z19" s="11" t="n">
        <f aca="false">-Z17*Assumptions!$C$8</f>
        <v>-10.8477646854299</v>
      </c>
      <c r="AA19" s="11" t="n">
        <f aca="false">-AA17*Assumptions!$C$8</f>
        <v>-11.5522665184967</v>
      </c>
      <c r="AB19" s="11" t="n">
        <f aca="false">-AB17*Assumptions!$C$8</f>
        <v>-12.2887511712409</v>
      </c>
      <c r="AC19" s="11" t="n">
        <f aca="false">-AC17*Assumptions!$C$8</f>
        <v>-13.0588826300859</v>
      </c>
      <c r="AD19" s="11" t="n">
        <f aca="false">-AD17*Assumptions!$C$8</f>
        <v>-13.8644067838675</v>
      </c>
      <c r="AE19" s="11" t="n">
        <f aca="false">-AE17*Assumptions!$C$8</f>
        <v>-14.7071555448926</v>
      </c>
      <c r="AF19" s="11" t="n">
        <f aca="false">-AF17*Assumptions!$C$8</f>
        <v>-15.5890511755323</v>
      </c>
      <c r="AG19" s="11" t="n">
        <f aca="false">-AG17*Assumptions!$C$8</f>
        <v>-16.5121108306362</v>
      </c>
      <c r="AH19" s="11" t="n">
        <f aca="false">-AH17*Assumptions!$C$8</f>
        <v>-17.4784513265686</v>
      </c>
      <c r="AI19" s="11" t="n">
        <f aca="false">-AI17*Assumptions!$C$8</f>
        <v>-18.4902941482097</v>
      </c>
      <c r="AJ19" s="11" t="n">
        <f aca="false">-AJ17*Assumptions!$C$8</f>
        <v>-19.5499707058266</v>
      </c>
      <c r="AK19" s="11" t="n">
        <f aca="false">-AK17*Assumptions!$C$8</f>
        <v>-20.6599278543202</v>
      </c>
      <c r="AL19" s="11" t="n">
        <f aca="false">-AL17*Assumptions!$C$8</f>
        <v>-21.8227336879745</v>
      </c>
    </row>
    <row r="20" customFormat="false" ht="15" hidden="false" customHeight="false" outlineLevel="0" collapsed="false">
      <c r="A20" s="36" t="s">
        <v>24</v>
      </c>
      <c r="B20" s="37" t="n">
        <f aca="false">Assumptions!C9</f>
        <v>30</v>
      </c>
      <c r="C20" s="38" t="n">
        <f aca="false">SUM(C17:C19)</f>
        <v>44.4</v>
      </c>
      <c r="D20" s="38" t="n">
        <f aca="false">SUM(D17:D19)</f>
        <v>59.262</v>
      </c>
      <c r="E20" s="38" t="n">
        <f aca="false">SUM(E17:E19)</f>
        <v>74.61426</v>
      </c>
      <c r="F20" s="38" t="n">
        <f aca="false">SUM(F17:F19)</f>
        <v>90.4863498</v>
      </c>
      <c r="G20" s="38" t="n">
        <f aca="false">SUM(G17:G19)</f>
        <v>106.909216554</v>
      </c>
      <c r="H20" s="38" t="n">
        <f aca="false">SUM(H17:H19)</f>
        <v>123.91525566042</v>
      </c>
      <c r="I20" s="38" t="n">
        <f aca="false">SUM(I17:I19)</f>
        <v>141.538385156587</v>
      </c>
      <c r="J20" s="38" t="n">
        <f aca="false">SUM(J17:J19)</f>
        <v>159.814123793299</v>
      </c>
      <c r="K20" s="38" t="n">
        <f aca="false">SUM(K17:K19)</f>
        <v>178.779672974269</v>
      </c>
      <c r="L20" s="38" t="n">
        <f aca="false">SUM(L17:L19)</f>
        <v>198.474002754461</v>
      </c>
      <c r="M20" s="38" t="n">
        <f aca="false">SUM(M17:M19)</f>
        <v>218.937942101033</v>
      </c>
      <c r="N20" s="38" t="n">
        <f aca="false">SUM(N17:N19)</f>
        <v>240.214273630757</v>
      </c>
      <c r="O20" s="38" t="n">
        <f aca="false">SUM(O17:O19)</f>
        <v>262.347833048474</v>
      </c>
      <c r="P20" s="38" t="n">
        <f aca="false">SUM(P17:P19)</f>
        <v>285.385613522353</v>
      </c>
      <c r="Q20" s="38" t="n">
        <f aca="false">SUM(Q17:Q19)</f>
        <v>309.376875243497</v>
      </c>
      <c r="R20" s="38" t="n">
        <f aca="false">SUM(R17:R19)</f>
        <v>334.373260429798</v>
      </c>
      <c r="S20" s="38" t="n">
        <f aca="false">SUM(S17:S19)</f>
        <v>360.428914046931</v>
      </c>
      <c r="T20" s="38" t="n">
        <f aca="false">SUM(T17:T19)</f>
        <v>387.600610533008</v>
      </c>
      <c r="U20" s="38" t="n">
        <f aca="false">SUM(U17:U19)</f>
        <v>415.947886827714</v>
      </c>
      <c r="V20" s="38" t="n">
        <f aca="false">SUM(V17:V19)</f>
        <v>445.533182021794</v>
      </c>
      <c r="W20" s="38" t="n">
        <f aca="false">SUM(W17:W19)</f>
        <v>476.421983958525</v>
      </c>
      <c r="X20" s="38" t="n">
        <f aca="false">SUM(X17:X19)</f>
        <v>508.682983135379</v>
      </c>
      <c r="Y20" s="38" t="n">
        <f aca="false">SUM(Y17:Y19)</f>
        <v>542.388234271497</v>
      </c>
      <c r="Z20" s="38" t="n">
        <f aca="false">SUM(Z17:Z19)</f>
        <v>577.613325924835</v>
      </c>
      <c r="AA20" s="38" t="n">
        <f aca="false">SUM(AA17:AA19)</f>
        <v>614.437558562043</v>
      </c>
      <c r="AB20" s="38" t="n">
        <f aca="false">SUM(AB17:AB19)</f>
        <v>652.944131504293</v>
      </c>
      <c r="AC20" s="38" t="n">
        <f aca="false">SUM(AC17:AC19)</f>
        <v>693.220339193373</v>
      </c>
      <c r="AD20" s="38" t="n">
        <f aca="false">SUM(AD17:AD19)</f>
        <v>735.357777244629</v>
      </c>
      <c r="AE20" s="38" t="n">
        <f aca="false">SUM(AE17:AE19)</f>
        <v>779.452558776616</v>
      </c>
      <c r="AF20" s="38" t="n">
        <f aca="false">SUM(AF17:AF19)</f>
        <v>825.605541531808</v>
      </c>
      <c r="AG20" s="38" t="n">
        <f aca="false">SUM(AG17:AG19)</f>
        <v>873.922566328432</v>
      </c>
      <c r="AH20" s="38" t="n">
        <f aca="false">SUM(AH17:AH19)</f>
        <v>924.514707410486</v>
      </c>
      <c r="AI20" s="38" t="n">
        <f aca="false">SUM(AI17:AI19)</f>
        <v>977.49853529133</v>
      </c>
      <c r="AJ20" s="38" t="n">
        <f aca="false">SUM(AJ17:AJ19)</f>
        <v>1032.99639271601</v>
      </c>
      <c r="AK20" s="38" t="n">
        <f aca="false">SUM(AK17:AK19)</f>
        <v>1091.13668439872</v>
      </c>
      <c r="AL20" s="38" t="n">
        <f aca="false">SUM(AL17:AL19)</f>
        <v>1152.05418122463</v>
      </c>
    </row>
    <row r="21" customFormat="false" ht="15" hidden="false" customHeight="false" outlineLevel="0" collapsed="false">
      <c r="A21" s="10" t="s">
        <v>127</v>
      </c>
      <c r="C21" s="39" t="n">
        <f aca="false">B25</f>
        <v>5970</v>
      </c>
      <c r="D21" s="39" t="n">
        <f aca="false">C25</f>
        <v>8895.3</v>
      </c>
      <c r="E21" s="39" t="n">
        <f aca="false">D25</f>
        <v>11940.597</v>
      </c>
      <c r="F21" s="39" t="n">
        <f aca="false">E25</f>
        <v>15112.15353</v>
      </c>
      <c r="G21" s="39" t="n">
        <f aca="false">F25</f>
        <v>18416.5426197</v>
      </c>
      <c r="H21" s="39" t="n">
        <f aca="false">G25</f>
        <v>21860.663349753</v>
      </c>
      <c r="I21" s="39" t="n">
        <f aca="false">H25</f>
        <v>25451.757180318</v>
      </c>
      <c r="J21" s="39" t="n">
        <f aca="false">I25</f>
        <v>29197.4250957804</v>
      </c>
      <c r="K21" s="39" t="n">
        <f aca="false">J25</f>
        <v>33105.6456064515</v>
      </c>
      <c r="L21" s="39" t="n">
        <f aca="false">K25</f>
        <v>37184.7936500974</v>
      </c>
      <c r="M21" s="39" t="n">
        <f aca="false">L25</f>
        <v>41443.6604382923</v>
      </c>
      <c r="N21" s="39" t="n">
        <f aca="false">M25</f>
        <v>45891.47429484</v>
      </c>
      <c r="O21" s="39" t="n">
        <f aca="false">N25</f>
        <v>50537.9225358688</v>
      </c>
      <c r="P21" s="39" t="n">
        <f aca="false">O25</f>
        <v>55393.1744436862</v>
      </c>
      <c r="Q21" s="39" t="n">
        <f aca="false">P25</f>
        <v>60467.9053890842</v>
      </c>
      <c r="R21" s="39" t="n">
        <f aca="false">Q25</f>
        <v>65773.3221595199</v>
      </c>
      <c r="S21" s="39" t="n">
        <f aca="false">R25</f>
        <v>71321.1895534677</v>
      </c>
      <c r="T21" s="39" t="n">
        <f aca="false">S25</f>
        <v>77123.8583042531</v>
      </c>
      <c r="U21" s="39" t="n">
        <f aca="false">T25</f>
        <v>83194.2943998467</v>
      </c>
      <c r="V21" s="39" t="n">
        <f aca="false">U25</f>
        <v>89546.1098684161</v>
      </c>
      <c r="W21" s="39" t="n">
        <f aca="false">V25</f>
        <v>96193.5951029282</v>
      </c>
      <c r="X21" s="39" t="n">
        <f aca="false">W25</f>
        <v>103151.752801755</v>
      </c>
      <c r="Y21" s="39" t="n">
        <f aca="false">X25</f>
        <v>110436.333606086</v>
      </c>
      <c r="Z21" s="39" t="n">
        <f aca="false">Y25</f>
        <v>118063.873518992</v>
      </c>
      <c r="AA21" s="39" t="n">
        <f aca="false">Z25</f>
        <v>126051.733195217</v>
      </c>
      <c r="AB21" s="39" t="n">
        <f aca="false">AA25</f>
        <v>134418.13919525</v>
      </c>
      <c r="AC21" s="39" t="n">
        <f aca="false">AB25</f>
        <v>143182.227301882</v>
      </c>
      <c r="AD21" s="39" t="n">
        <f aca="false">AC25</f>
        <v>152364.088002377</v>
      </c>
      <c r="AE21" s="39" t="n">
        <f aca="false">AD25</f>
        <v>161984.814244543</v>
      </c>
      <c r="AF21" s="39" t="n">
        <f aca="false">AE25</f>
        <v>172066.551580397</v>
      </c>
      <c r="AG21" s="39" t="n">
        <f aca="false">AF25</f>
        <v>182632.550816807</v>
      </c>
      <c r="AH21" s="39" t="n">
        <f aca="false">AG25</f>
        <v>193707.223298463</v>
      </c>
      <c r="AI21" s="39" t="n">
        <f aca="false">AH25</f>
        <v>205316.198954795</v>
      </c>
      <c r="AJ21" s="39" t="n">
        <f aca="false">AI25</f>
        <v>217486.387249029</v>
      </c>
      <c r="AK21" s="39" t="n">
        <f aca="false">AJ25</f>
        <v>230246.041174509</v>
      </c>
      <c r="AL21" s="39" t="n">
        <f aca="false">AK25</f>
        <v>243624.824450633</v>
      </c>
    </row>
    <row r="22" customFormat="false" ht="15" hidden="false" customHeight="false" outlineLevel="0" collapsed="false">
      <c r="A22" s="10" t="s">
        <v>128</v>
      </c>
      <c r="C22" s="14" t="n">
        <f aca="false">C18*Assumptions!$C$5</f>
        <v>2985</v>
      </c>
      <c r="D22" s="14" t="n">
        <f aca="false">D18*Assumptions!$C$5</f>
        <v>3134.25</v>
      </c>
      <c r="E22" s="14" t="n">
        <f aca="false">E18*Assumptions!$C$5</f>
        <v>3290.9625</v>
      </c>
      <c r="F22" s="14" t="n">
        <f aca="false">F18*Assumptions!$C$5</f>
        <v>3455.510625</v>
      </c>
      <c r="G22" s="14" t="n">
        <f aca="false">G18*Assumptions!$C$5</f>
        <v>3628.28615625</v>
      </c>
      <c r="H22" s="14" t="n">
        <f aca="false">H18*Assumptions!$C$5</f>
        <v>3809.7004640625</v>
      </c>
      <c r="I22" s="14" t="n">
        <f aca="false">I18*Assumptions!$C$5</f>
        <v>4000.18548726563</v>
      </c>
      <c r="J22" s="14" t="n">
        <f aca="false">J18*Assumptions!$C$5</f>
        <v>4200.19476162891</v>
      </c>
      <c r="K22" s="14" t="n">
        <f aca="false">K18*Assumptions!$C$5</f>
        <v>4410.20449971035</v>
      </c>
      <c r="L22" s="14" t="n">
        <f aca="false">L18*Assumptions!$C$5</f>
        <v>4630.71472469587</v>
      </c>
      <c r="M22" s="14" t="n">
        <f aca="false">M18*Assumptions!$C$5</f>
        <v>4862.25046093066</v>
      </c>
      <c r="N22" s="14" t="n">
        <f aca="false">N18*Assumptions!$C$5</f>
        <v>5105.3629839772</v>
      </c>
      <c r="O22" s="14" t="n">
        <f aca="false">O18*Assumptions!$C$5</f>
        <v>5360.63113317606</v>
      </c>
      <c r="P22" s="14" t="n">
        <f aca="false">P18*Assumptions!$C$5</f>
        <v>5628.66268983486</v>
      </c>
      <c r="Q22" s="14" t="n">
        <f aca="false">Q18*Assumptions!$C$5</f>
        <v>5910.09582432661</v>
      </c>
      <c r="R22" s="14" t="n">
        <f aca="false">R18*Assumptions!$C$5</f>
        <v>6205.60061554294</v>
      </c>
      <c r="S22" s="14" t="n">
        <f aca="false">S18*Assumptions!$C$5</f>
        <v>6515.88064632008</v>
      </c>
      <c r="T22" s="14" t="n">
        <f aca="false">T18*Assumptions!$C$5</f>
        <v>6841.67467863609</v>
      </c>
      <c r="U22" s="14" t="n">
        <f aca="false">U18*Assumptions!$C$5</f>
        <v>7183.75841256789</v>
      </c>
      <c r="V22" s="14" t="n">
        <f aca="false">V18*Assumptions!$C$5</f>
        <v>7542.94633319629</v>
      </c>
      <c r="W22" s="14" t="n">
        <f aca="false">W18*Assumptions!$C$5</f>
        <v>7920.0936498561</v>
      </c>
      <c r="X22" s="14" t="n">
        <f aca="false">X18*Assumptions!$C$5</f>
        <v>8316.09833234891</v>
      </c>
      <c r="Y22" s="14" t="n">
        <f aca="false">Y18*Assumptions!$C$5</f>
        <v>8731.90324896635</v>
      </c>
      <c r="Z22" s="14" t="n">
        <f aca="false">Z18*Assumptions!$C$5</f>
        <v>9168.49841141467</v>
      </c>
      <c r="AA22" s="14" t="n">
        <f aca="false">AA18*Assumptions!$C$5</f>
        <v>9626.9233319854</v>
      </c>
      <c r="AB22" s="14" t="n">
        <f aca="false">AB18*Assumptions!$C$5</f>
        <v>10108.2694985847</v>
      </c>
      <c r="AC22" s="14" t="n">
        <f aca="false">AC18*Assumptions!$C$5</f>
        <v>10613.6829735139</v>
      </c>
      <c r="AD22" s="14" t="n">
        <f aca="false">AD18*Assumptions!$C$5</f>
        <v>11144.3671221896</v>
      </c>
      <c r="AE22" s="14" t="n">
        <f aca="false">AE18*Assumptions!$C$5</f>
        <v>11701.5854782991</v>
      </c>
      <c r="AF22" s="14" t="n">
        <f aca="false">AF18*Assumptions!$C$5</f>
        <v>12286.664752214</v>
      </c>
      <c r="AG22" s="14" t="n">
        <f aca="false">AG18*Assumptions!$C$5</f>
        <v>12900.9979898247</v>
      </c>
      <c r="AH22" s="14" t="n">
        <f aca="false">AH18*Assumptions!$C$5</f>
        <v>13546.047889316</v>
      </c>
      <c r="AI22" s="14" t="n">
        <f aca="false">AI18*Assumptions!$C$5</f>
        <v>14223.3502837818</v>
      </c>
      <c r="AJ22" s="14" t="n">
        <f aca="false">AJ18*Assumptions!$C$5</f>
        <v>14934.5177979709</v>
      </c>
      <c r="AK22" s="14" t="n">
        <f aca="false">AK18*Assumptions!$C$5</f>
        <v>15681.2436878694</v>
      </c>
      <c r="AL22" s="14" t="n">
        <f aca="false">AL18*Assumptions!$C$5</f>
        <v>16465.3058722629</v>
      </c>
    </row>
    <row r="23" customFormat="false" ht="15" hidden="false" customHeight="false" outlineLevel="0" collapsed="false">
      <c r="A23" s="10" t="s">
        <v>129</v>
      </c>
      <c r="C23" s="14" t="n">
        <f aca="false">C21*Assumptions!$C$10</f>
        <v>59.7</v>
      </c>
      <c r="D23" s="14" t="n">
        <f aca="false">D21*Assumptions!$C$10</f>
        <v>88.953</v>
      </c>
      <c r="E23" s="14" t="n">
        <f aca="false">E21*Assumptions!$C$10</f>
        <v>119.40597</v>
      </c>
      <c r="F23" s="14" t="n">
        <f aca="false">F21*Assumptions!$C$10</f>
        <v>151.1215353</v>
      </c>
      <c r="G23" s="14" t="n">
        <f aca="false">G21*Assumptions!$C$10</f>
        <v>184.165426197</v>
      </c>
      <c r="H23" s="14" t="n">
        <f aca="false">H21*Assumptions!$C$10</f>
        <v>218.60663349753</v>
      </c>
      <c r="I23" s="14" t="n">
        <f aca="false">I21*Assumptions!$C$10</f>
        <v>254.51757180318</v>
      </c>
      <c r="J23" s="14" t="n">
        <f aca="false">J21*Assumptions!$C$10</f>
        <v>291.974250957804</v>
      </c>
      <c r="K23" s="14" t="n">
        <f aca="false">K21*Assumptions!$C$10</f>
        <v>331.056456064515</v>
      </c>
      <c r="L23" s="14" t="n">
        <f aca="false">L21*Assumptions!$C$10</f>
        <v>371.847936500974</v>
      </c>
      <c r="M23" s="14" t="n">
        <f aca="false">M21*Assumptions!$C$10</f>
        <v>414.436604382923</v>
      </c>
      <c r="N23" s="14" t="n">
        <f aca="false">N21*Assumptions!$C$10</f>
        <v>458.9147429484</v>
      </c>
      <c r="O23" s="14" t="n">
        <f aca="false">O21*Assumptions!$C$10</f>
        <v>505.379225358688</v>
      </c>
      <c r="P23" s="14" t="n">
        <f aca="false">P21*Assumptions!$C$10</f>
        <v>553.931744436862</v>
      </c>
      <c r="Q23" s="14" t="n">
        <f aca="false">Q21*Assumptions!$C$10</f>
        <v>604.679053890842</v>
      </c>
      <c r="R23" s="14" t="n">
        <f aca="false">R21*Assumptions!$C$10</f>
        <v>657.733221595199</v>
      </c>
      <c r="S23" s="14" t="n">
        <f aca="false">S21*Assumptions!$C$10</f>
        <v>713.211895534677</v>
      </c>
      <c r="T23" s="14" t="n">
        <f aca="false">T21*Assumptions!$C$10</f>
        <v>771.238583042531</v>
      </c>
      <c r="U23" s="14" t="n">
        <f aca="false">U21*Assumptions!$C$10</f>
        <v>831.942943998467</v>
      </c>
      <c r="V23" s="14" t="n">
        <f aca="false">V21*Assumptions!$C$10</f>
        <v>895.461098684161</v>
      </c>
      <c r="W23" s="14" t="n">
        <f aca="false">W21*Assumptions!$C$10</f>
        <v>961.935951029282</v>
      </c>
      <c r="X23" s="14" t="n">
        <f aca="false">X21*Assumptions!$C$10</f>
        <v>1031.51752801755</v>
      </c>
      <c r="Y23" s="14" t="n">
        <f aca="false">Y21*Assumptions!$C$10</f>
        <v>1104.36333606086</v>
      </c>
      <c r="Z23" s="14" t="n">
        <f aca="false">Z21*Assumptions!$C$10</f>
        <v>1180.63873518992</v>
      </c>
      <c r="AA23" s="14" t="n">
        <f aca="false">AA21*Assumptions!$C$10</f>
        <v>1260.51733195217</v>
      </c>
      <c r="AB23" s="14" t="n">
        <f aca="false">AB21*Assumptions!$C$10</f>
        <v>1344.1813919525</v>
      </c>
      <c r="AC23" s="14" t="n">
        <f aca="false">AC21*Assumptions!$C$10</f>
        <v>1431.82227301882</v>
      </c>
      <c r="AD23" s="14" t="n">
        <f aca="false">AD21*Assumptions!$C$10</f>
        <v>1523.64088002377</v>
      </c>
      <c r="AE23" s="14" t="n">
        <f aca="false">AE21*Assumptions!$C$10</f>
        <v>1619.84814244543</v>
      </c>
      <c r="AF23" s="14" t="n">
        <f aca="false">AF21*Assumptions!$C$10</f>
        <v>1720.66551580397</v>
      </c>
      <c r="AG23" s="14" t="n">
        <f aca="false">AG21*Assumptions!$C$10</f>
        <v>1826.32550816807</v>
      </c>
      <c r="AH23" s="14" t="n">
        <f aca="false">AH21*Assumptions!$C$10</f>
        <v>1937.07223298463</v>
      </c>
      <c r="AI23" s="14" t="n">
        <f aca="false">AI21*Assumptions!$C$10</f>
        <v>2053.16198954795</v>
      </c>
      <c r="AJ23" s="14" t="n">
        <f aca="false">AJ21*Assumptions!$C$10</f>
        <v>2174.86387249029</v>
      </c>
      <c r="AK23" s="14" t="n">
        <f aca="false">AK21*Assumptions!$C$10</f>
        <v>2302.46041174509</v>
      </c>
      <c r="AL23" s="14" t="n">
        <f aca="false">AL21*Assumptions!$C$10</f>
        <v>2436.24824450633</v>
      </c>
    </row>
    <row r="24" customFormat="false" ht="15" hidden="false" customHeight="false" outlineLevel="0" collapsed="false">
      <c r="A24" s="10" t="s">
        <v>130</v>
      </c>
      <c r="C24" s="14" t="n">
        <f aca="false">-C21*Assumptions!$C$8</f>
        <v>-119.4</v>
      </c>
      <c r="D24" s="14" t="n">
        <f aca="false">-D21*Assumptions!$C$8</f>
        <v>-177.906</v>
      </c>
      <c r="E24" s="14" t="n">
        <f aca="false">-E21*Assumptions!$C$8</f>
        <v>-238.81194</v>
      </c>
      <c r="F24" s="14" t="n">
        <f aca="false">-F21*Assumptions!$C$8</f>
        <v>-302.2430706</v>
      </c>
      <c r="G24" s="14" t="n">
        <f aca="false">-G21*Assumptions!$C$8</f>
        <v>-368.330852394</v>
      </c>
      <c r="H24" s="14" t="n">
        <f aca="false">-H21*Assumptions!$C$8</f>
        <v>-437.21326699506</v>
      </c>
      <c r="I24" s="14" t="n">
        <f aca="false">-I21*Assumptions!$C$8</f>
        <v>-509.035143606359</v>
      </c>
      <c r="J24" s="14" t="n">
        <f aca="false">-J21*Assumptions!$C$8</f>
        <v>-583.948501915608</v>
      </c>
      <c r="K24" s="14" t="n">
        <f aca="false">-K21*Assumptions!$C$8</f>
        <v>-662.11291212903</v>
      </c>
      <c r="L24" s="14" t="n">
        <f aca="false">-L21*Assumptions!$C$8</f>
        <v>-743.695873001947</v>
      </c>
      <c r="M24" s="14" t="n">
        <f aca="false">-M21*Assumptions!$C$8</f>
        <v>-828.873208765845</v>
      </c>
      <c r="N24" s="14" t="n">
        <f aca="false">-N21*Assumptions!$C$8</f>
        <v>-917.8294858968</v>
      </c>
      <c r="O24" s="14" t="n">
        <f aca="false">-O21*Assumptions!$C$8</f>
        <v>-1010.75845071738</v>
      </c>
      <c r="P24" s="14" t="n">
        <f aca="false">-P21*Assumptions!$C$8</f>
        <v>-1107.86348887372</v>
      </c>
      <c r="Q24" s="14" t="n">
        <f aca="false">-Q21*Assumptions!$C$8</f>
        <v>-1209.35810778168</v>
      </c>
      <c r="R24" s="14" t="n">
        <f aca="false">-R21*Assumptions!$C$8</f>
        <v>-1315.4664431904</v>
      </c>
      <c r="S24" s="14" t="n">
        <f aca="false">-S21*Assumptions!$C$8</f>
        <v>-1426.42379106935</v>
      </c>
      <c r="T24" s="14" t="n">
        <f aca="false">-T21*Assumptions!$C$8</f>
        <v>-1542.47716608506</v>
      </c>
      <c r="U24" s="14" t="n">
        <f aca="false">-U21*Assumptions!$C$8</f>
        <v>-1663.88588799693</v>
      </c>
      <c r="V24" s="14" t="n">
        <f aca="false">-V21*Assumptions!$C$8</f>
        <v>-1790.92219736832</v>
      </c>
      <c r="W24" s="14" t="n">
        <f aca="false">-W21*Assumptions!$C$8</f>
        <v>-1923.87190205856</v>
      </c>
      <c r="X24" s="14" t="n">
        <f aca="false">-X21*Assumptions!$C$8</f>
        <v>-2063.0350560351</v>
      </c>
      <c r="Y24" s="14" t="n">
        <f aca="false">-Y21*Assumptions!$C$8</f>
        <v>-2208.72667212173</v>
      </c>
      <c r="Z24" s="14" t="n">
        <f aca="false">-Z21*Assumptions!$C$8</f>
        <v>-2361.27747037984</v>
      </c>
      <c r="AA24" s="14" t="n">
        <f aca="false">-AA21*Assumptions!$C$8</f>
        <v>-2521.03466390433</v>
      </c>
      <c r="AB24" s="14" t="n">
        <f aca="false">-AB21*Assumptions!$C$8</f>
        <v>-2688.362783905</v>
      </c>
      <c r="AC24" s="14" t="n">
        <f aca="false">-AC21*Assumptions!$C$8</f>
        <v>-2863.64454603764</v>
      </c>
      <c r="AD24" s="14" t="n">
        <f aca="false">-AD21*Assumptions!$C$8</f>
        <v>-3047.28176004754</v>
      </c>
      <c r="AE24" s="14" t="n">
        <f aca="false">-AE21*Assumptions!$C$8</f>
        <v>-3239.69628489086</v>
      </c>
      <c r="AF24" s="14" t="n">
        <f aca="false">-AF21*Assumptions!$C$8</f>
        <v>-3441.33103160793</v>
      </c>
      <c r="AG24" s="14" t="n">
        <f aca="false">-AG21*Assumptions!$C$8</f>
        <v>-3652.65101633613</v>
      </c>
      <c r="AH24" s="14" t="n">
        <f aca="false">-AH21*Assumptions!$C$8</f>
        <v>-3874.14446596927</v>
      </c>
      <c r="AI24" s="14" t="n">
        <f aca="false">-AI21*Assumptions!$C$8</f>
        <v>-4106.32397909589</v>
      </c>
      <c r="AJ24" s="14" t="n">
        <f aca="false">-AJ21*Assumptions!$C$8</f>
        <v>-4349.72774498057</v>
      </c>
      <c r="AK24" s="14" t="n">
        <f aca="false">-AK21*Assumptions!$C$8</f>
        <v>-4604.92082349018</v>
      </c>
      <c r="AL24" s="14" t="n">
        <f aca="false">-AL21*Assumptions!$C$8</f>
        <v>-4872.49648901267</v>
      </c>
    </row>
    <row r="25" customFormat="false" ht="15" hidden="false" customHeight="false" outlineLevel="0" collapsed="false">
      <c r="A25" s="36" t="s">
        <v>26</v>
      </c>
      <c r="B25" s="40" t="n">
        <f aca="false">B20*Assumptions!C5</f>
        <v>5970</v>
      </c>
      <c r="C25" s="40" t="n">
        <f aca="false">SUM(C21:C24)</f>
        <v>8895.3</v>
      </c>
      <c r="D25" s="40" t="n">
        <f aca="false">SUM(D21:D24)</f>
        <v>11940.597</v>
      </c>
      <c r="E25" s="40" t="n">
        <f aca="false">SUM(E21:E24)</f>
        <v>15112.15353</v>
      </c>
      <c r="F25" s="40" t="n">
        <f aca="false">SUM(F21:F24)</f>
        <v>18416.5426197</v>
      </c>
      <c r="G25" s="40" t="n">
        <f aca="false">SUM(G21:G24)</f>
        <v>21860.663349753</v>
      </c>
      <c r="H25" s="40" t="n">
        <f aca="false">SUM(H21:H24)</f>
        <v>25451.757180318</v>
      </c>
      <c r="I25" s="40" t="n">
        <f aca="false">SUM(I21:I24)</f>
        <v>29197.4250957804</v>
      </c>
      <c r="J25" s="40" t="n">
        <f aca="false">SUM(J21:J24)</f>
        <v>33105.6456064515</v>
      </c>
      <c r="K25" s="40" t="n">
        <f aca="false">SUM(K21:K24)</f>
        <v>37184.7936500974</v>
      </c>
      <c r="L25" s="40" t="n">
        <f aca="false">SUM(L21:L24)</f>
        <v>41443.6604382923</v>
      </c>
      <c r="M25" s="40" t="n">
        <f aca="false">SUM(M21:M24)</f>
        <v>45891.47429484</v>
      </c>
      <c r="N25" s="40" t="n">
        <f aca="false">SUM(N21:N24)</f>
        <v>50537.9225358688</v>
      </c>
      <c r="O25" s="40" t="n">
        <f aca="false">SUM(O21:O24)</f>
        <v>55393.1744436862</v>
      </c>
      <c r="P25" s="40" t="n">
        <f aca="false">SUM(P21:P24)</f>
        <v>60467.9053890842</v>
      </c>
      <c r="Q25" s="40" t="n">
        <f aca="false">SUM(Q21:Q24)</f>
        <v>65773.3221595199</v>
      </c>
      <c r="R25" s="40" t="n">
        <f aca="false">SUM(R21:R24)</f>
        <v>71321.1895534677</v>
      </c>
      <c r="S25" s="40" t="n">
        <f aca="false">SUM(S21:S24)</f>
        <v>77123.8583042531</v>
      </c>
      <c r="T25" s="40" t="n">
        <f aca="false">SUM(T21:T24)</f>
        <v>83194.2943998467</v>
      </c>
      <c r="U25" s="40" t="n">
        <f aca="false">SUM(U21:U24)</f>
        <v>89546.1098684161</v>
      </c>
      <c r="V25" s="40" t="n">
        <f aca="false">SUM(V21:V24)</f>
        <v>96193.5951029282</v>
      </c>
      <c r="W25" s="40" t="n">
        <f aca="false">SUM(W21:W24)</f>
        <v>103151.752801755</v>
      </c>
      <c r="X25" s="40" t="n">
        <f aca="false">SUM(X21:X24)</f>
        <v>110436.333606086</v>
      </c>
      <c r="Y25" s="40" t="n">
        <f aca="false">SUM(Y21:Y24)</f>
        <v>118063.873518992</v>
      </c>
      <c r="Z25" s="40" t="n">
        <f aca="false">SUM(Z21:Z24)</f>
        <v>126051.733195217</v>
      </c>
      <c r="AA25" s="40" t="n">
        <f aca="false">SUM(AA21:AA24)</f>
        <v>134418.13919525</v>
      </c>
      <c r="AB25" s="40" t="n">
        <f aca="false">SUM(AB21:AB24)</f>
        <v>143182.227301882</v>
      </c>
      <c r="AC25" s="40" t="n">
        <f aca="false">SUM(AC21:AC24)</f>
        <v>152364.088002377</v>
      </c>
      <c r="AD25" s="40" t="n">
        <f aca="false">SUM(AD21:AD24)</f>
        <v>161984.814244543</v>
      </c>
      <c r="AE25" s="40" t="n">
        <f aca="false">SUM(AE21:AE24)</f>
        <v>172066.551580397</v>
      </c>
      <c r="AF25" s="40" t="n">
        <f aca="false">SUM(AF21:AF24)</f>
        <v>182632.550816807</v>
      </c>
      <c r="AG25" s="40" t="n">
        <f aca="false">SUM(AG21:AG24)</f>
        <v>193707.223298463</v>
      </c>
      <c r="AH25" s="40" t="n">
        <f aca="false">SUM(AH21:AH24)</f>
        <v>205316.198954795</v>
      </c>
      <c r="AI25" s="40" t="n">
        <f aca="false">SUM(AI21:AI24)</f>
        <v>217486.387249029</v>
      </c>
      <c r="AJ25" s="40" t="n">
        <f aca="false">SUM(AJ21:AJ24)</f>
        <v>230246.041174509</v>
      </c>
      <c r="AK25" s="40" t="n">
        <f aca="false">SUM(AK21:AK24)</f>
        <v>243624.824450633</v>
      </c>
      <c r="AL25" s="40" t="n">
        <f aca="false">SUM(AL21:AL24)</f>
        <v>257653.88207839</v>
      </c>
    </row>
    <row r="27" customFormat="false" ht="15" hidden="false" customHeight="false" outlineLevel="0" collapsed="false">
      <c r="A27" s="8" t="s">
        <v>132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customFormat="false" ht="15" hidden="false" customHeight="false" outlineLevel="0" collapsed="false">
      <c r="A28" s="10" t="s">
        <v>124</v>
      </c>
      <c r="C28" s="35" t="n">
        <f aca="false">B31</f>
        <v>3</v>
      </c>
      <c r="D28" s="35" t="n">
        <f aca="false">C31</f>
        <v>4.97</v>
      </c>
      <c r="E28" s="35" t="n">
        <f aca="false">D31</f>
        <v>7.0003</v>
      </c>
      <c r="F28" s="35" t="n">
        <f aca="false">E31</f>
        <v>9.093497</v>
      </c>
      <c r="G28" s="35" t="n">
        <f aca="false">F31</f>
        <v>11.25229003</v>
      </c>
      <c r="H28" s="35" t="n">
        <f aca="false">G31</f>
        <v>13.4794842497</v>
      </c>
      <c r="I28" s="35" t="n">
        <f aca="false">H31</f>
        <v>15.777995212003</v>
      </c>
      <c r="J28" s="35" t="n">
        <f aca="false">I31</f>
        <v>18.150853296875</v>
      </c>
      <c r="K28" s="35" t="n">
        <f aca="false">J31</f>
        <v>20.6012083223779</v>
      </c>
      <c r="L28" s="35" t="n">
        <f aca="false">K31</f>
        <v>23.1323343399647</v>
      </c>
      <c r="M28" s="35" t="n">
        <f aca="false">L31</f>
        <v>25.747634621408</v>
      </c>
      <c r="N28" s="35" t="n">
        <f aca="false">M31</f>
        <v>28.4506468450306</v>
      </c>
      <c r="O28" s="35" t="n">
        <f aca="false">N31</f>
        <v>31.2450484892104</v>
      </c>
      <c r="P28" s="35" t="n">
        <f aca="false">O31</f>
        <v>34.1346624414537</v>
      </c>
      <c r="Q28" s="35" t="n">
        <f aca="false">P31</f>
        <v>37.12346283166</v>
      </c>
      <c r="R28" s="35" t="n">
        <f aca="false">Q31</f>
        <v>40.215581098549</v>
      </c>
      <c r="S28" s="35" t="n">
        <f aca="false">R31</f>
        <v>43.4153122985773</v>
      </c>
      <c r="T28" s="35" t="n">
        <f aca="false">S31</f>
        <v>46.7271216670459</v>
      </c>
      <c r="U28" s="35" t="n">
        <f aca="false">T31</f>
        <v>50.155651441488</v>
      </c>
      <c r="V28" s="35" t="n">
        <f aca="false">U31</f>
        <v>53.7057279578302</v>
      </c>
      <c r="W28" s="35" t="n">
        <f aca="false">V31</f>
        <v>57.3823690302392</v>
      </c>
      <c r="X28" s="35" t="n">
        <f aca="false">W31</f>
        <v>61.1907916260037</v>
      </c>
      <c r="Y28" s="35" t="n">
        <f aca="false">X31</f>
        <v>65.1364198472532</v>
      </c>
      <c r="Z28" s="35" t="n">
        <f aca="false">Y31</f>
        <v>69.2248932317906</v>
      </c>
      <c r="AA28" s="35" t="n">
        <f aca="false">Z31</f>
        <v>73.4620753858029</v>
      </c>
      <c r="AB28" s="35" t="n">
        <f aca="false">AA31</f>
        <v>77.8540629617284</v>
      </c>
      <c r="AC28" s="35" t="n">
        <f aca="false">AB31</f>
        <v>82.407194995086</v>
      </c>
      <c r="AD28" s="35" t="n">
        <f aca="false">AC31</f>
        <v>87.1280626146289</v>
      </c>
      <c r="AE28" s="35" t="n">
        <f aca="false">AD31</f>
        <v>92.0235191407563</v>
      </c>
      <c r="AF28" s="35" t="n">
        <f aca="false">AE31</f>
        <v>97.1006905877132</v>
      </c>
      <c r="AG28" s="35" t="n">
        <f aca="false">AF31</f>
        <v>102.366986585735</v>
      </c>
      <c r="AH28" s="35" t="n">
        <f aca="false">AG31</f>
        <v>107.830111739933</v>
      </c>
      <c r="AI28" s="35" t="n">
        <f aca="false">AH31</f>
        <v>113.498077443391</v>
      </c>
      <c r="AJ28" s="35" t="n">
        <f aca="false">AI31</f>
        <v>119.379214162649</v>
      </c>
      <c r="AK28" s="35" t="n">
        <f aca="false">AJ31</f>
        <v>125.482184214461</v>
      </c>
      <c r="AL28" s="35" t="n">
        <f aca="false">AK31</f>
        <v>131.815995053494</v>
      </c>
    </row>
    <row r="29" customFormat="false" ht="15" hidden="false" customHeight="false" outlineLevel="0" collapsed="false">
      <c r="A29" s="10" t="s">
        <v>125</v>
      </c>
      <c r="C29" s="11" t="n">
        <f aca="false">Assumptions!$D$6*(1+Assumptions!$D$7)^(C$2-1)</f>
        <v>2</v>
      </c>
      <c r="D29" s="11" t="n">
        <f aca="false">Assumptions!$D$6*(1+Assumptions!$D$7)^(D$2-1)</f>
        <v>2.08</v>
      </c>
      <c r="E29" s="11" t="n">
        <f aca="false">Assumptions!$D$6*(1+Assumptions!$D$7)^(E$2-1)</f>
        <v>2.1632</v>
      </c>
      <c r="F29" s="11" t="n">
        <f aca="false">Assumptions!$D$6*(1+Assumptions!$D$7)^(F$2-1)</f>
        <v>2.249728</v>
      </c>
      <c r="G29" s="11" t="n">
        <f aca="false">Assumptions!$D$6*(1+Assumptions!$D$7)^(G$2-1)</f>
        <v>2.33971712</v>
      </c>
      <c r="H29" s="11" t="n">
        <f aca="false">Assumptions!$D$6*(1+Assumptions!$D$7)^(H$2-1)</f>
        <v>2.4333058048</v>
      </c>
      <c r="I29" s="11" t="n">
        <f aca="false">Assumptions!$D$6*(1+Assumptions!$D$7)^(I$2-1)</f>
        <v>2.530638036992</v>
      </c>
      <c r="J29" s="11" t="n">
        <f aca="false">Assumptions!$D$6*(1+Assumptions!$D$7)^(J$2-1)</f>
        <v>2.63186355847168</v>
      </c>
      <c r="K29" s="11" t="n">
        <f aca="false">Assumptions!$D$6*(1+Assumptions!$D$7)^(K$2-1)</f>
        <v>2.73713810081055</v>
      </c>
      <c r="L29" s="11" t="n">
        <f aca="false">Assumptions!$D$6*(1+Assumptions!$D$7)^(L$2-1)</f>
        <v>2.84662362484297</v>
      </c>
      <c r="M29" s="11" t="n">
        <f aca="false">Assumptions!$D$6*(1+Assumptions!$D$7)^(M$2-1)</f>
        <v>2.96048856983669</v>
      </c>
      <c r="N29" s="11" t="n">
        <f aca="false">Assumptions!$D$6*(1+Assumptions!$D$7)^(N$2-1)</f>
        <v>3.07890811263016</v>
      </c>
      <c r="O29" s="11" t="n">
        <f aca="false">Assumptions!$D$6*(1+Assumptions!$D$7)^(O$2-1)</f>
        <v>3.20206443713536</v>
      </c>
      <c r="P29" s="11" t="n">
        <f aca="false">Assumptions!$D$6*(1+Assumptions!$D$7)^(P$2-1)</f>
        <v>3.33014701462078</v>
      </c>
      <c r="Q29" s="11" t="n">
        <f aca="false">Assumptions!$D$6*(1+Assumptions!$D$7)^(Q$2-1)</f>
        <v>3.46335289520561</v>
      </c>
      <c r="R29" s="11" t="n">
        <f aca="false">Assumptions!$D$6*(1+Assumptions!$D$7)^(R$2-1)</f>
        <v>3.60188701101383</v>
      </c>
      <c r="S29" s="11" t="n">
        <f aca="false">Assumptions!$D$6*(1+Assumptions!$D$7)^(S$2-1)</f>
        <v>3.74596249145439</v>
      </c>
      <c r="T29" s="11" t="n">
        <f aca="false">Assumptions!$D$6*(1+Assumptions!$D$7)^(T$2-1)</f>
        <v>3.89580099111256</v>
      </c>
      <c r="U29" s="11" t="n">
        <f aca="false">Assumptions!$D$6*(1+Assumptions!$D$7)^(U$2-1)</f>
        <v>4.05163303075707</v>
      </c>
      <c r="V29" s="11" t="n">
        <f aca="false">Assumptions!$D$6*(1+Assumptions!$D$7)^(V$2-1)</f>
        <v>4.21369835198735</v>
      </c>
      <c r="W29" s="11" t="n">
        <f aca="false">Assumptions!$D$6*(1+Assumptions!$D$7)^(W$2-1)</f>
        <v>4.38224628606684</v>
      </c>
      <c r="X29" s="11" t="n">
        <f aca="false">Assumptions!$D$6*(1+Assumptions!$D$7)^(X$2-1)</f>
        <v>4.55753613750952</v>
      </c>
      <c r="Y29" s="11" t="n">
        <f aca="false">Assumptions!$D$6*(1+Assumptions!$D$7)^(Y$2-1)</f>
        <v>4.7398375830099</v>
      </c>
      <c r="Z29" s="11" t="n">
        <f aca="false">Assumptions!$D$6*(1+Assumptions!$D$7)^(Z$2-1)</f>
        <v>4.92943108633029</v>
      </c>
      <c r="AA29" s="11" t="n">
        <f aca="false">Assumptions!$D$6*(1+Assumptions!$D$7)^(AA$2-1)</f>
        <v>5.12660832978351</v>
      </c>
      <c r="AB29" s="11" t="n">
        <f aca="false">Assumptions!$D$6*(1+Assumptions!$D$7)^(AB$2-1)</f>
        <v>5.33167266297484</v>
      </c>
      <c r="AC29" s="11" t="n">
        <f aca="false">Assumptions!$D$6*(1+Assumptions!$D$7)^(AC$2-1)</f>
        <v>5.54493956949384</v>
      </c>
      <c r="AD29" s="11" t="n">
        <f aca="false">Assumptions!$D$6*(1+Assumptions!$D$7)^(AD$2-1)</f>
        <v>5.76673715227359</v>
      </c>
      <c r="AE29" s="11" t="n">
        <f aca="false">Assumptions!$D$6*(1+Assumptions!$D$7)^(AE$2-1)</f>
        <v>5.99740663836454</v>
      </c>
      <c r="AF29" s="11" t="n">
        <f aca="false">Assumptions!$D$6*(1+Assumptions!$D$7)^(AF$2-1)</f>
        <v>6.23730290389912</v>
      </c>
      <c r="AG29" s="11" t="n">
        <f aca="false">Assumptions!$D$6*(1+Assumptions!$D$7)^(AG$2-1)</f>
        <v>6.48679502005508</v>
      </c>
      <c r="AH29" s="11" t="n">
        <f aca="false">Assumptions!$D$6*(1+Assumptions!$D$7)^(AH$2-1)</f>
        <v>6.74626682085729</v>
      </c>
      <c r="AI29" s="11" t="n">
        <f aca="false">Assumptions!$D$6*(1+Assumptions!$D$7)^(AI$2-1)</f>
        <v>7.01611749369158</v>
      </c>
      <c r="AJ29" s="11" t="n">
        <f aca="false">Assumptions!$D$6*(1+Assumptions!$D$7)^(AJ$2-1)</f>
        <v>7.29676219343924</v>
      </c>
      <c r="AK29" s="11" t="n">
        <f aca="false">Assumptions!$D$6*(1+Assumptions!$D$7)^(AK$2-1)</f>
        <v>7.58863268117681</v>
      </c>
      <c r="AL29" s="11" t="n">
        <f aca="false">Assumptions!$D$6*(1+Assumptions!$D$7)^(AL$2-1)</f>
        <v>7.89217798842388</v>
      </c>
    </row>
    <row r="30" customFormat="false" ht="15" hidden="false" customHeight="false" outlineLevel="0" collapsed="false">
      <c r="A30" s="10" t="s">
        <v>126</v>
      </c>
      <c r="C30" s="11" t="n">
        <f aca="false">-C28*Assumptions!$D$8</f>
        <v>-0.03</v>
      </c>
      <c r="D30" s="11" t="n">
        <f aca="false">-D28*Assumptions!$D$8</f>
        <v>-0.0497</v>
      </c>
      <c r="E30" s="11" t="n">
        <f aca="false">-E28*Assumptions!$D$8</f>
        <v>-0.070003</v>
      </c>
      <c r="F30" s="11" t="n">
        <f aca="false">-F28*Assumptions!$D$8</f>
        <v>-0.09093497</v>
      </c>
      <c r="G30" s="11" t="n">
        <f aca="false">-G28*Assumptions!$D$8</f>
        <v>-0.1125229003</v>
      </c>
      <c r="H30" s="11" t="n">
        <f aca="false">-H28*Assumptions!$D$8</f>
        <v>-0.134794842497</v>
      </c>
      <c r="I30" s="11" t="n">
        <f aca="false">-I28*Assumptions!$D$8</f>
        <v>-0.15777995212003</v>
      </c>
      <c r="J30" s="11" t="n">
        <f aca="false">-J28*Assumptions!$D$8</f>
        <v>-0.18150853296875</v>
      </c>
      <c r="K30" s="11" t="n">
        <f aca="false">-K28*Assumptions!$D$8</f>
        <v>-0.206012083223779</v>
      </c>
      <c r="L30" s="11" t="n">
        <f aca="false">-L28*Assumptions!$D$8</f>
        <v>-0.231323343399647</v>
      </c>
      <c r="M30" s="11" t="n">
        <f aca="false">-M28*Assumptions!$D$8</f>
        <v>-0.25747634621408</v>
      </c>
      <c r="N30" s="11" t="n">
        <f aca="false">-N28*Assumptions!$D$8</f>
        <v>-0.284506468450306</v>
      </c>
      <c r="O30" s="11" t="n">
        <f aca="false">-O28*Assumptions!$D$8</f>
        <v>-0.312450484892105</v>
      </c>
      <c r="P30" s="11" t="n">
        <f aca="false">-P28*Assumptions!$D$8</f>
        <v>-0.341346624414537</v>
      </c>
      <c r="Q30" s="11" t="n">
        <f aca="false">-Q28*Assumptions!$D$8</f>
        <v>-0.3712346283166</v>
      </c>
      <c r="R30" s="11" t="n">
        <f aca="false">-R28*Assumptions!$D$8</f>
        <v>-0.40215581098549</v>
      </c>
      <c r="S30" s="11" t="n">
        <f aca="false">-S28*Assumptions!$D$8</f>
        <v>-0.434153122985773</v>
      </c>
      <c r="T30" s="11" t="n">
        <f aca="false">-T28*Assumptions!$D$8</f>
        <v>-0.467271216670459</v>
      </c>
      <c r="U30" s="11" t="n">
        <f aca="false">-U28*Assumptions!$D$8</f>
        <v>-0.50155651441488</v>
      </c>
      <c r="V30" s="11" t="n">
        <f aca="false">-V28*Assumptions!$D$8</f>
        <v>-0.537057279578302</v>
      </c>
      <c r="W30" s="11" t="n">
        <f aca="false">-W28*Assumptions!$D$8</f>
        <v>-0.573823690302392</v>
      </c>
      <c r="X30" s="11" t="n">
        <f aca="false">-X28*Assumptions!$D$8</f>
        <v>-0.611907916260037</v>
      </c>
      <c r="Y30" s="11" t="n">
        <f aca="false">-Y28*Assumptions!$D$8</f>
        <v>-0.651364198472532</v>
      </c>
      <c r="Z30" s="11" t="n">
        <f aca="false">-Z28*Assumptions!$D$8</f>
        <v>-0.692248932317906</v>
      </c>
      <c r="AA30" s="11" t="n">
        <f aca="false">-AA28*Assumptions!$D$8</f>
        <v>-0.734620753858029</v>
      </c>
      <c r="AB30" s="11" t="n">
        <f aca="false">-AB28*Assumptions!$D$8</f>
        <v>-0.778540629617284</v>
      </c>
      <c r="AC30" s="11" t="n">
        <f aca="false">-AC28*Assumptions!$D$8</f>
        <v>-0.82407194995086</v>
      </c>
      <c r="AD30" s="11" t="n">
        <f aca="false">-AD28*Assumptions!$D$8</f>
        <v>-0.871280626146289</v>
      </c>
      <c r="AE30" s="11" t="n">
        <f aca="false">-AE28*Assumptions!$D$8</f>
        <v>-0.920235191407563</v>
      </c>
      <c r="AF30" s="11" t="n">
        <f aca="false">-AF28*Assumptions!$D$8</f>
        <v>-0.971006905877132</v>
      </c>
      <c r="AG30" s="11" t="n">
        <f aca="false">-AG28*Assumptions!$D$8</f>
        <v>-1.02366986585735</v>
      </c>
      <c r="AH30" s="11" t="n">
        <f aca="false">-AH28*Assumptions!$D$8</f>
        <v>-1.07830111739933</v>
      </c>
      <c r="AI30" s="11" t="n">
        <f aca="false">-AI28*Assumptions!$D$8</f>
        <v>-1.13498077443391</v>
      </c>
      <c r="AJ30" s="11" t="n">
        <f aca="false">-AJ28*Assumptions!$D$8</f>
        <v>-1.19379214162649</v>
      </c>
      <c r="AK30" s="11" t="n">
        <f aca="false">-AK28*Assumptions!$D$8</f>
        <v>-1.25482184214461</v>
      </c>
      <c r="AL30" s="11" t="n">
        <f aca="false">-AL28*Assumptions!$D$8</f>
        <v>-1.31815995053494</v>
      </c>
    </row>
    <row r="31" customFormat="false" ht="15" hidden="false" customHeight="false" outlineLevel="0" collapsed="false">
      <c r="A31" s="36" t="s">
        <v>24</v>
      </c>
      <c r="B31" s="37" t="n">
        <f aca="false">Assumptions!D9</f>
        <v>3</v>
      </c>
      <c r="C31" s="38" t="n">
        <f aca="false">SUM(C28:C30)</f>
        <v>4.97</v>
      </c>
      <c r="D31" s="38" t="n">
        <f aca="false">SUM(D28:D30)</f>
        <v>7.0003</v>
      </c>
      <c r="E31" s="38" t="n">
        <f aca="false">SUM(E28:E30)</f>
        <v>9.093497</v>
      </c>
      <c r="F31" s="38" t="n">
        <f aca="false">SUM(F28:F30)</f>
        <v>11.25229003</v>
      </c>
      <c r="G31" s="38" t="n">
        <f aca="false">SUM(G28:G30)</f>
        <v>13.4794842497</v>
      </c>
      <c r="H31" s="38" t="n">
        <f aca="false">SUM(H28:H30)</f>
        <v>15.777995212003</v>
      </c>
      <c r="I31" s="38" t="n">
        <f aca="false">SUM(I28:I30)</f>
        <v>18.150853296875</v>
      </c>
      <c r="J31" s="38" t="n">
        <f aca="false">SUM(J28:J30)</f>
        <v>20.6012083223779</v>
      </c>
      <c r="K31" s="38" t="n">
        <f aca="false">SUM(K28:K30)</f>
        <v>23.1323343399647</v>
      </c>
      <c r="L31" s="38" t="n">
        <f aca="false">SUM(L28:L30)</f>
        <v>25.747634621408</v>
      </c>
      <c r="M31" s="38" t="n">
        <f aca="false">SUM(M28:M30)</f>
        <v>28.4506468450306</v>
      </c>
      <c r="N31" s="38" t="n">
        <f aca="false">SUM(N28:N30)</f>
        <v>31.2450484892104</v>
      </c>
      <c r="O31" s="38" t="n">
        <f aca="false">SUM(O28:O30)</f>
        <v>34.1346624414537</v>
      </c>
      <c r="P31" s="38" t="n">
        <f aca="false">SUM(P28:P30)</f>
        <v>37.12346283166</v>
      </c>
      <c r="Q31" s="38" t="n">
        <f aca="false">SUM(Q28:Q30)</f>
        <v>40.215581098549</v>
      </c>
      <c r="R31" s="38" t="n">
        <f aca="false">SUM(R28:R30)</f>
        <v>43.4153122985773</v>
      </c>
      <c r="S31" s="38" t="n">
        <f aca="false">SUM(S28:S30)</f>
        <v>46.7271216670459</v>
      </c>
      <c r="T31" s="38" t="n">
        <f aca="false">SUM(T28:T30)</f>
        <v>50.155651441488</v>
      </c>
      <c r="U31" s="38" t="n">
        <f aca="false">SUM(U28:U30)</f>
        <v>53.7057279578302</v>
      </c>
      <c r="V31" s="38" t="n">
        <f aca="false">SUM(V28:V30)</f>
        <v>57.3823690302392</v>
      </c>
      <c r="W31" s="38" t="n">
        <f aca="false">SUM(W28:W30)</f>
        <v>61.1907916260037</v>
      </c>
      <c r="X31" s="38" t="n">
        <f aca="false">SUM(X28:X30)</f>
        <v>65.1364198472532</v>
      </c>
      <c r="Y31" s="38" t="n">
        <f aca="false">SUM(Y28:Y30)</f>
        <v>69.2248932317906</v>
      </c>
      <c r="Z31" s="38" t="n">
        <f aca="false">SUM(Z28:Z30)</f>
        <v>73.4620753858029</v>
      </c>
      <c r="AA31" s="38" t="n">
        <f aca="false">SUM(AA28:AA30)</f>
        <v>77.8540629617284</v>
      </c>
      <c r="AB31" s="38" t="n">
        <f aca="false">SUM(AB28:AB30)</f>
        <v>82.407194995086</v>
      </c>
      <c r="AC31" s="38" t="n">
        <f aca="false">SUM(AC28:AC30)</f>
        <v>87.1280626146289</v>
      </c>
      <c r="AD31" s="38" t="n">
        <f aca="false">SUM(AD28:AD30)</f>
        <v>92.0235191407563</v>
      </c>
      <c r="AE31" s="38" t="n">
        <f aca="false">SUM(AE28:AE30)</f>
        <v>97.1006905877132</v>
      </c>
      <c r="AF31" s="38" t="n">
        <f aca="false">SUM(AF28:AF30)</f>
        <v>102.366986585735</v>
      </c>
      <c r="AG31" s="38" t="n">
        <f aca="false">SUM(AG28:AG30)</f>
        <v>107.830111739933</v>
      </c>
      <c r="AH31" s="38" t="n">
        <f aca="false">SUM(AH28:AH30)</f>
        <v>113.498077443391</v>
      </c>
      <c r="AI31" s="38" t="n">
        <f aca="false">SUM(AI28:AI30)</f>
        <v>119.379214162649</v>
      </c>
      <c r="AJ31" s="38" t="n">
        <f aca="false">SUM(AJ28:AJ30)</f>
        <v>125.482184214461</v>
      </c>
      <c r="AK31" s="38" t="n">
        <f aca="false">SUM(AK28:AK30)</f>
        <v>131.815995053494</v>
      </c>
      <c r="AL31" s="38" t="n">
        <f aca="false">SUM(AL28:AL30)</f>
        <v>138.390013091382</v>
      </c>
    </row>
    <row r="32" customFormat="false" ht="15" hidden="false" customHeight="false" outlineLevel="0" collapsed="false">
      <c r="A32" s="10" t="s">
        <v>127</v>
      </c>
      <c r="C32" s="39" t="n">
        <f aca="false">B36</f>
        <v>2997</v>
      </c>
      <c r="D32" s="39" t="n">
        <f aca="false">C36</f>
        <v>5009.985</v>
      </c>
      <c r="E32" s="39" t="n">
        <f aca="false">D36</f>
        <v>7112.954925</v>
      </c>
      <c r="F32" s="39" t="n">
        <f aca="false">E36</f>
        <v>9309.556499625</v>
      </c>
      <c r="G32" s="39" t="n">
        <f aca="false">F36</f>
        <v>11603.5825541231</v>
      </c>
      <c r="H32" s="39" t="n">
        <f aca="false">G36</f>
        <v>13998.9778697737</v>
      </c>
      <c r="I32" s="39" t="n">
        <f aca="false">H36</f>
        <v>16499.8452581178</v>
      </c>
      <c r="J32" s="39" t="n">
        <f aca="false">I36</f>
        <v>19110.4518833634</v>
      </c>
      <c r="K32" s="39" t="n">
        <f aca="false">J36</f>
        <v>21835.2358376934</v>
      </c>
      <c r="L32" s="39" t="n">
        <f aca="false">K36</f>
        <v>24678.8129795916</v>
      </c>
      <c r="M32" s="39" t="n">
        <f aca="false">L36</f>
        <v>27645.9840457077</v>
      </c>
      <c r="N32" s="39" t="n">
        <f aca="false">M36</f>
        <v>30741.7420472031</v>
      </c>
      <c r="O32" s="39" t="n">
        <f aca="false">N36</f>
        <v>33971.2799619567</v>
      </c>
      <c r="P32" s="39" t="n">
        <f aca="false">O36</f>
        <v>37339.9987344647</v>
      </c>
      <c r="Q32" s="39" t="n">
        <f aca="false">P36</f>
        <v>40853.5155957432</v>
      </c>
      <c r="R32" s="39" t="n">
        <f aca="false">Q36</f>
        <v>44517.6727160323</v>
      </c>
      <c r="S32" s="39" t="n">
        <f aca="false">R36</f>
        <v>48338.5462036152</v>
      </c>
      <c r="T32" s="39" t="n">
        <f aca="false">S36</f>
        <v>52322.4554635963</v>
      </c>
      <c r="U32" s="39" t="n">
        <f aca="false">T36</f>
        <v>56475.9729310357</v>
      </c>
      <c r="V32" s="39" t="n">
        <f aca="false">U36</f>
        <v>60805.9341934172</v>
      </c>
      <c r="W32" s="39" t="n">
        <f aca="false">V36</f>
        <v>65319.4485180196</v>
      </c>
      <c r="X32" s="39" t="n">
        <f aca="false">W36</f>
        <v>70023.9098003905</v>
      </c>
      <c r="Y32" s="39" t="n">
        <f aca="false">X36</f>
        <v>74927.0079507644</v>
      </c>
      <c r="Z32" s="39" t="n">
        <f aca="false">Y36</f>
        <v>80036.7407359452</v>
      </c>
      <c r="AA32" s="39" t="n">
        <f aca="false">Z36</f>
        <v>85361.4260948689</v>
      </c>
      <c r="AB32" s="39" t="n">
        <f aca="false">AA36</f>
        <v>90909.7149467969</v>
      </c>
      <c r="AC32" s="39" t="n">
        <f aca="false">AB36</f>
        <v>96690.6045118428</v>
      </c>
      <c r="AD32" s="39" t="n">
        <f aca="false">AC36</f>
        <v>102713.452164326</v>
      </c>
      <c r="AE32" s="39" t="n">
        <f aca="false">AD36</f>
        <v>108987.989840269</v>
      </c>
      <c r="AF32" s="39" t="n">
        <f aca="false">AE36</f>
        <v>115524.339021197</v>
      </c>
      <c r="AG32" s="39" t="n">
        <f aca="false">AF36</f>
        <v>122333.026317298</v>
      </c>
      <c r="AH32" s="39" t="n">
        <f aca="false">AG36</f>
        <v>129424.99967392</v>
      </c>
      <c r="AI32" s="39" t="n">
        <f aca="false">AH36</f>
        <v>136811.645226326</v>
      </c>
      <c r="AJ32" s="39" t="n">
        <f aca="false">AI36</f>
        <v>144504.804828655</v>
      </c>
      <c r="AK32" s="39" t="n">
        <f aca="false">AJ36</f>
        <v>152516.794284044</v>
      </c>
      <c r="AL32" s="39" t="n">
        <f aca="false">AK36</f>
        <v>160860.42230396</v>
      </c>
    </row>
    <row r="33" customFormat="false" ht="15" hidden="false" customHeight="false" outlineLevel="0" collapsed="false">
      <c r="A33" s="10" t="s">
        <v>128</v>
      </c>
      <c r="C33" s="14" t="n">
        <f aca="false">C29*Assumptions!$D$5</f>
        <v>1998</v>
      </c>
      <c r="D33" s="14" t="n">
        <f aca="false">D29*Assumptions!$D$5</f>
        <v>2077.92</v>
      </c>
      <c r="E33" s="14" t="n">
        <f aca="false">E29*Assumptions!$D$5</f>
        <v>2161.0368</v>
      </c>
      <c r="F33" s="14" t="n">
        <f aca="false">F29*Assumptions!$D$5</f>
        <v>2247.478272</v>
      </c>
      <c r="G33" s="14" t="n">
        <f aca="false">G29*Assumptions!$D$5</f>
        <v>2337.37740288</v>
      </c>
      <c r="H33" s="14" t="n">
        <f aca="false">H29*Assumptions!$D$5</f>
        <v>2430.8724989952</v>
      </c>
      <c r="I33" s="14" t="n">
        <f aca="false">I29*Assumptions!$D$5</f>
        <v>2528.10739895501</v>
      </c>
      <c r="J33" s="14" t="n">
        <f aca="false">J29*Assumptions!$D$5</f>
        <v>2629.23169491321</v>
      </c>
      <c r="K33" s="14" t="n">
        <f aca="false">K29*Assumptions!$D$5</f>
        <v>2734.40096270974</v>
      </c>
      <c r="L33" s="14" t="n">
        <f aca="false">L29*Assumptions!$D$5</f>
        <v>2843.77700121813</v>
      </c>
      <c r="M33" s="14" t="n">
        <f aca="false">M29*Assumptions!$D$5</f>
        <v>2957.52808126685</v>
      </c>
      <c r="N33" s="14" t="n">
        <f aca="false">N29*Assumptions!$D$5</f>
        <v>3075.82920451753</v>
      </c>
      <c r="O33" s="14" t="n">
        <f aca="false">O29*Assumptions!$D$5</f>
        <v>3198.86237269823</v>
      </c>
      <c r="P33" s="14" t="n">
        <f aca="false">P29*Assumptions!$D$5</f>
        <v>3326.81686760616</v>
      </c>
      <c r="Q33" s="14" t="n">
        <f aca="false">Q29*Assumptions!$D$5</f>
        <v>3459.8895423104</v>
      </c>
      <c r="R33" s="14" t="n">
        <f aca="false">R29*Assumptions!$D$5</f>
        <v>3598.28512400282</v>
      </c>
      <c r="S33" s="14" t="n">
        <f aca="false">S29*Assumptions!$D$5</f>
        <v>3742.21652896293</v>
      </c>
      <c r="T33" s="14" t="n">
        <f aca="false">T29*Assumptions!$D$5</f>
        <v>3891.90519012145</v>
      </c>
      <c r="U33" s="14" t="n">
        <f aca="false">U29*Assumptions!$D$5</f>
        <v>4047.58139772631</v>
      </c>
      <c r="V33" s="14" t="n">
        <f aca="false">V29*Assumptions!$D$5</f>
        <v>4209.48465363536</v>
      </c>
      <c r="W33" s="14" t="n">
        <f aca="false">W29*Assumptions!$D$5</f>
        <v>4377.86403978078</v>
      </c>
      <c r="X33" s="14" t="n">
        <f aca="false">X29*Assumptions!$D$5</f>
        <v>4552.97860137201</v>
      </c>
      <c r="Y33" s="14" t="n">
        <f aca="false">Y29*Assumptions!$D$5</f>
        <v>4735.09774542689</v>
      </c>
      <c r="Z33" s="14" t="n">
        <f aca="false">Z29*Assumptions!$D$5</f>
        <v>4924.50165524396</v>
      </c>
      <c r="AA33" s="14" t="n">
        <f aca="false">AA29*Assumptions!$D$5</f>
        <v>5121.48172145372</v>
      </c>
      <c r="AB33" s="14" t="n">
        <f aca="false">AB29*Assumptions!$D$5</f>
        <v>5326.34099031187</v>
      </c>
      <c r="AC33" s="14" t="n">
        <f aca="false">AC29*Assumptions!$D$5</f>
        <v>5539.39462992434</v>
      </c>
      <c r="AD33" s="14" t="n">
        <f aca="false">AD29*Assumptions!$D$5</f>
        <v>5760.97041512132</v>
      </c>
      <c r="AE33" s="14" t="n">
        <f aca="false">AE29*Assumptions!$D$5</f>
        <v>5991.40923172617</v>
      </c>
      <c r="AF33" s="14" t="n">
        <f aca="false">AF29*Assumptions!$D$5</f>
        <v>6231.06560099522</v>
      </c>
      <c r="AG33" s="14" t="n">
        <f aca="false">AG29*Assumptions!$D$5</f>
        <v>6480.30822503503</v>
      </c>
      <c r="AH33" s="14" t="n">
        <f aca="false">AH29*Assumptions!$D$5</f>
        <v>6739.52055403643</v>
      </c>
      <c r="AI33" s="14" t="n">
        <f aca="false">AI29*Assumptions!$D$5</f>
        <v>7009.10137619789</v>
      </c>
      <c r="AJ33" s="14" t="n">
        <f aca="false">AJ29*Assumptions!$D$5</f>
        <v>7289.4654312458</v>
      </c>
      <c r="AK33" s="14" t="n">
        <f aca="false">AK29*Assumptions!$D$5</f>
        <v>7581.04404849563</v>
      </c>
      <c r="AL33" s="14" t="n">
        <f aca="false">AL29*Assumptions!$D$5</f>
        <v>7884.28581043546</v>
      </c>
    </row>
    <row r="34" customFormat="false" ht="15" hidden="false" customHeight="false" outlineLevel="0" collapsed="false">
      <c r="A34" s="10" t="s">
        <v>129</v>
      </c>
      <c r="C34" s="14" t="n">
        <f aca="false">C32*Assumptions!$D$10</f>
        <v>44.955</v>
      </c>
      <c r="D34" s="14" t="n">
        <f aca="false">D32*Assumptions!$D$10</f>
        <v>75.149775</v>
      </c>
      <c r="E34" s="14" t="n">
        <f aca="false">E32*Assumptions!$D$10</f>
        <v>106.694323875</v>
      </c>
      <c r="F34" s="14" t="n">
        <f aca="false">F32*Assumptions!$D$10</f>
        <v>139.643347494375</v>
      </c>
      <c r="G34" s="14" t="n">
        <f aca="false">G32*Assumptions!$D$10</f>
        <v>174.053738311847</v>
      </c>
      <c r="H34" s="14" t="n">
        <f aca="false">H32*Assumptions!$D$10</f>
        <v>209.984668046606</v>
      </c>
      <c r="I34" s="14" t="n">
        <f aca="false">I32*Assumptions!$D$10</f>
        <v>247.497678871767</v>
      </c>
      <c r="J34" s="14" t="n">
        <f aca="false">J32*Assumptions!$D$10</f>
        <v>286.656778250451</v>
      </c>
      <c r="K34" s="14" t="n">
        <f aca="false">K32*Assumptions!$D$10</f>
        <v>327.528537565401</v>
      </c>
      <c r="L34" s="14" t="n">
        <f aca="false">L32*Assumptions!$D$10</f>
        <v>370.182194693875</v>
      </c>
      <c r="M34" s="14" t="n">
        <f aca="false">M32*Assumptions!$D$10</f>
        <v>414.689760685616</v>
      </c>
      <c r="N34" s="14" t="n">
        <f aca="false">N32*Assumptions!$D$10</f>
        <v>461.126130708047</v>
      </c>
      <c r="O34" s="14" t="n">
        <f aca="false">O32*Assumptions!$D$10</f>
        <v>509.56919942935</v>
      </c>
      <c r="P34" s="14" t="n">
        <f aca="false">P32*Assumptions!$D$10</f>
        <v>560.09998101697</v>
      </c>
      <c r="Q34" s="14" t="n">
        <f aca="false">Q32*Assumptions!$D$10</f>
        <v>612.802733936147</v>
      </c>
      <c r="R34" s="14" t="n">
        <f aca="false">R32*Assumptions!$D$10</f>
        <v>667.765090740484</v>
      </c>
      <c r="S34" s="14" t="n">
        <f aca="false">S32*Assumptions!$D$10</f>
        <v>725.078193054229</v>
      </c>
      <c r="T34" s="14" t="n">
        <f aca="false">T32*Assumptions!$D$10</f>
        <v>784.836831953944</v>
      </c>
      <c r="U34" s="14" t="n">
        <f aca="false">U32*Assumptions!$D$10</f>
        <v>847.139593965535</v>
      </c>
      <c r="V34" s="14" t="n">
        <f aca="false">V32*Assumptions!$D$10</f>
        <v>912.089012901257</v>
      </c>
      <c r="W34" s="14" t="n">
        <f aca="false">W32*Assumptions!$D$10</f>
        <v>979.791727770294</v>
      </c>
      <c r="X34" s="14" t="n">
        <f aca="false">X32*Assumptions!$D$10</f>
        <v>1050.35864700586</v>
      </c>
      <c r="Y34" s="14" t="n">
        <f aca="false">Y32*Assumptions!$D$10</f>
        <v>1123.90511926147</v>
      </c>
      <c r="Z34" s="14" t="n">
        <f aca="false">Z32*Assumptions!$D$10</f>
        <v>1200.55111103918</v>
      </c>
      <c r="AA34" s="14" t="n">
        <f aca="false">AA32*Assumptions!$D$10</f>
        <v>1280.42139142303</v>
      </c>
      <c r="AB34" s="14" t="n">
        <f aca="false">AB32*Assumptions!$D$10</f>
        <v>1363.64572420195</v>
      </c>
      <c r="AC34" s="14" t="n">
        <f aca="false">AC32*Assumptions!$D$10</f>
        <v>1450.35906767764</v>
      </c>
      <c r="AD34" s="14" t="n">
        <f aca="false">AD32*Assumptions!$D$10</f>
        <v>1540.7017824649</v>
      </c>
      <c r="AE34" s="14" t="n">
        <f aca="false">AE32*Assumptions!$D$10</f>
        <v>1634.81984760404</v>
      </c>
      <c r="AF34" s="14" t="n">
        <f aca="false">AF32*Assumptions!$D$10</f>
        <v>1732.86508531795</v>
      </c>
      <c r="AG34" s="14" t="n">
        <f aca="false">AG32*Assumptions!$D$10</f>
        <v>1834.99539475947</v>
      </c>
      <c r="AH34" s="14" t="n">
        <f aca="false">AH32*Assumptions!$D$10</f>
        <v>1941.37499510879</v>
      </c>
      <c r="AI34" s="14" t="n">
        <f aca="false">AI32*Assumptions!$D$10</f>
        <v>2052.17467839488</v>
      </c>
      <c r="AJ34" s="14" t="n">
        <f aca="false">AJ32*Assumptions!$D$10</f>
        <v>2167.57207242983</v>
      </c>
      <c r="AK34" s="14" t="n">
        <f aca="false">AK32*Assumptions!$D$10</f>
        <v>2287.75191426066</v>
      </c>
      <c r="AL34" s="14" t="n">
        <f aca="false">AL32*Assumptions!$D$10</f>
        <v>2412.9063345594</v>
      </c>
    </row>
    <row r="35" customFormat="false" ht="15" hidden="false" customHeight="false" outlineLevel="0" collapsed="false">
      <c r="A35" s="10" t="s">
        <v>130</v>
      </c>
      <c r="C35" s="14" t="n">
        <f aca="false">-C32*Assumptions!$D$8</f>
        <v>-29.97</v>
      </c>
      <c r="D35" s="14" t="n">
        <f aca="false">-D32*Assumptions!$D$8</f>
        <v>-50.09985</v>
      </c>
      <c r="E35" s="14" t="n">
        <f aca="false">-E32*Assumptions!$D$8</f>
        <v>-71.12954925</v>
      </c>
      <c r="F35" s="14" t="n">
        <f aca="false">-F32*Assumptions!$D$8</f>
        <v>-93.09556499625</v>
      </c>
      <c r="G35" s="14" t="n">
        <f aca="false">-G32*Assumptions!$D$8</f>
        <v>-116.035825541231</v>
      </c>
      <c r="H35" s="14" t="n">
        <f aca="false">-H32*Assumptions!$D$8</f>
        <v>-139.989778697737</v>
      </c>
      <c r="I35" s="14" t="n">
        <f aca="false">-I32*Assumptions!$D$8</f>
        <v>-164.998452581178</v>
      </c>
      <c r="J35" s="14" t="n">
        <f aca="false">-J32*Assumptions!$D$8</f>
        <v>-191.104518833634</v>
      </c>
      <c r="K35" s="14" t="n">
        <f aca="false">-K32*Assumptions!$D$8</f>
        <v>-218.352358376934</v>
      </c>
      <c r="L35" s="14" t="n">
        <f aca="false">-L32*Assumptions!$D$8</f>
        <v>-246.788129795916</v>
      </c>
      <c r="M35" s="14" t="n">
        <f aca="false">-M32*Assumptions!$D$8</f>
        <v>-276.459840457077</v>
      </c>
      <c r="N35" s="14" t="n">
        <f aca="false">-N32*Assumptions!$D$8</f>
        <v>-307.417420472031</v>
      </c>
      <c r="O35" s="14" t="n">
        <f aca="false">-O32*Assumptions!$D$8</f>
        <v>-339.712799619567</v>
      </c>
      <c r="P35" s="14" t="n">
        <f aca="false">-P32*Assumptions!$D$8</f>
        <v>-373.399987344647</v>
      </c>
      <c r="Q35" s="14" t="n">
        <f aca="false">-Q32*Assumptions!$D$8</f>
        <v>-408.535155957431</v>
      </c>
      <c r="R35" s="14" t="n">
        <f aca="false">-R32*Assumptions!$D$8</f>
        <v>-445.176727160323</v>
      </c>
      <c r="S35" s="14" t="n">
        <f aca="false">-S32*Assumptions!$D$8</f>
        <v>-483.385462036152</v>
      </c>
      <c r="T35" s="14" t="n">
        <f aca="false">-T32*Assumptions!$D$8</f>
        <v>-523.224554635963</v>
      </c>
      <c r="U35" s="14" t="n">
        <f aca="false">-U32*Assumptions!$D$8</f>
        <v>-564.759729310357</v>
      </c>
      <c r="V35" s="14" t="n">
        <f aca="false">-V32*Assumptions!$D$8</f>
        <v>-608.059341934172</v>
      </c>
      <c r="W35" s="14" t="n">
        <f aca="false">-W32*Assumptions!$D$8</f>
        <v>-653.194485180196</v>
      </c>
      <c r="X35" s="14" t="n">
        <f aca="false">-X32*Assumptions!$D$8</f>
        <v>-700.239098003905</v>
      </c>
      <c r="Y35" s="14" t="n">
        <f aca="false">-Y32*Assumptions!$D$8</f>
        <v>-749.270079507644</v>
      </c>
      <c r="Z35" s="14" t="n">
        <f aca="false">-Z32*Assumptions!$D$8</f>
        <v>-800.367407359452</v>
      </c>
      <c r="AA35" s="14" t="n">
        <f aca="false">-AA32*Assumptions!$D$8</f>
        <v>-853.614260948689</v>
      </c>
      <c r="AB35" s="14" t="n">
        <f aca="false">-AB32*Assumptions!$D$8</f>
        <v>-909.097149467969</v>
      </c>
      <c r="AC35" s="14" t="n">
        <f aca="false">-AC32*Assumptions!$D$8</f>
        <v>-966.906045118428</v>
      </c>
      <c r="AD35" s="14" t="n">
        <f aca="false">-AD32*Assumptions!$D$8</f>
        <v>-1027.13452164326</v>
      </c>
      <c r="AE35" s="14" t="n">
        <f aca="false">-AE32*Assumptions!$D$8</f>
        <v>-1089.87989840269</v>
      </c>
      <c r="AF35" s="14" t="n">
        <f aca="false">-AF32*Assumptions!$D$8</f>
        <v>-1155.24339021197</v>
      </c>
      <c r="AG35" s="14" t="n">
        <f aca="false">-AG32*Assumptions!$D$8</f>
        <v>-1223.33026317298</v>
      </c>
      <c r="AH35" s="14" t="n">
        <f aca="false">-AH32*Assumptions!$D$8</f>
        <v>-1294.2499967392</v>
      </c>
      <c r="AI35" s="14" t="n">
        <f aca="false">-AI32*Assumptions!$D$8</f>
        <v>-1368.11645226326</v>
      </c>
      <c r="AJ35" s="14" t="n">
        <f aca="false">-AJ32*Assumptions!$D$8</f>
        <v>-1445.04804828655</v>
      </c>
      <c r="AK35" s="14" t="n">
        <f aca="false">-AK32*Assumptions!$D$8</f>
        <v>-1525.16794284044</v>
      </c>
      <c r="AL35" s="14" t="n">
        <f aca="false">-AL32*Assumptions!$D$8</f>
        <v>-1608.6042230396</v>
      </c>
    </row>
    <row r="36" customFormat="false" ht="15" hidden="false" customHeight="false" outlineLevel="0" collapsed="false">
      <c r="A36" s="36" t="s">
        <v>26</v>
      </c>
      <c r="B36" s="40" t="n">
        <f aca="false">B31*Assumptions!D5</f>
        <v>2997</v>
      </c>
      <c r="C36" s="40" t="n">
        <f aca="false">SUM(C32:C35)</f>
        <v>5009.985</v>
      </c>
      <c r="D36" s="40" t="n">
        <f aca="false">SUM(D32:D35)</f>
        <v>7112.954925</v>
      </c>
      <c r="E36" s="40" t="n">
        <f aca="false">SUM(E32:E35)</f>
        <v>9309.556499625</v>
      </c>
      <c r="F36" s="40" t="n">
        <f aca="false">SUM(F32:F35)</f>
        <v>11603.5825541231</v>
      </c>
      <c r="G36" s="40" t="n">
        <f aca="false">SUM(G32:G35)</f>
        <v>13998.9778697737</v>
      </c>
      <c r="H36" s="40" t="n">
        <f aca="false">SUM(H32:H35)</f>
        <v>16499.8452581178</v>
      </c>
      <c r="I36" s="40" t="n">
        <f aca="false">SUM(I32:I35)</f>
        <v>19110.4518833634</v>
      </c>
      <c r="J36" s="40" t="n">
        <f aca="false">SUM(J32:J35)</f>
        <v>21835.2358376934</v>
      </c>
      <c r="K36" s="40" t="n">
        <f aca="false">SUM(K32:K35)</f>
        <v>24678.8129795916</v>
      </c>
      <c r="L36" s="40" t="n">
        <f aca="false">SUM(L32:L35)</f>
        <v>27645.9840457077</v>
      </c>
      <c r="M36" s="40" t="n">
        <f aca="false">SUM(M32:M35)</f>
        <v>30741.7420472031</v>
      </c>
      <c r="N36" s="40" t="n">
        <f aca="false">SUM(N32:N35)</f>
        <v>33971.2799619567</v>
      </c>
      <c r="O36" s="40" t="n">
        <f aca="false">SUM(O32:O35)</f>
        <v>37339.9987344647</v>
      </c>
      <c r="P36" s="40" t="n">
        <f aca="false">SUM(P32:P35)</f>
        <v>40853.5155957432</v>
      </c>
      <c r="Q36" s="40" t="n">
        <f aca="false">SUM(Q32:Q35)</f>
        <v>44517.6727160323</v>
      </c>
      <c r="R36" s="40" t="n">
        <f aca="false">SUM(R32:R35)</f>
        <v>48338.5462036152</v>
      </c>
      <c r="S36" s="40" t="n">
        <f aca="false">SUM(S32:S35)</f>
        <v>52322.4554635963</v>
      </c>
      <c r="T36" s="40" t="n">
        <f aca="false">SUM(T32:T35)</f>
        <v>56475.9729310357</v>
      </c>
      <c r="U36" s="40" t="n">
        <f aca="false">SUM(U32:U35)</f>
        <v>60805.9341934172</v>
      </c>
      <c r="V36" s="40" t="n">
        <f aca="false">SUM(V32:V35)</f>
        <v>65319.4485180196</v>
      </c>
      <c r="W36" s="40" t="n">
        <f aca="false">SUM(W32:W35)</f>
        <v>70023.9098003905</v>
      </c>
      <c r="X36" s="40" t="n">
        <f aca="false">SUM(X32:X35)</f>
        <v>74927.0079507644</v>
      </c>
      <c r="Y36" s="40" t="n">
        <f aca="false">SUM(Y32:Y35)</f>
        <v>80036.7407359452</v>
      </c>
      <c r="Z36" s="40" t="n">
        <f aca="false">SUM(Z32:Z35)</f>
        <v>85361.4260948689</v>
      </c>
      <c r="AA36" s="40" t="n">
        <f aca="false">SUM(AA32:AA35)</f>
        <v>90909.7149467969</v>
      </c>
      <c r="AB36" s="40" t="n">
        <f aca="false">SUM(AB32:AB35)</f>
        <v>96690.6045118428</v>
      </c>
      <c r="AC36" s="40" t="n">
        <f aca="false">SUM(AC32:AC35)</f>
        <v>102713.452164326</v>
      </c>
      <c r="AD36" s="40" t="n">
        <f aca="false">SUM(AD32:AD35)</f>
        <v>108987.989840269</v>
      </c>
      <c r="AE36" s="40" t="n">
        <f aca="false">SUM(AE32:AE35)</f>
        <v>115524.339021197</v>
      </c>
      <c r="AF36" s="40" t="n">
        <f aca="false">SUM(AF32:AF35)</f>
        <v>122333.026317298</v>
      </c>
      <c r="AG36" s="40" t="n">
        <f aca="false">SUM(AG32:AG35)</f>
        <v>129424.99967392</v>
      </c>
      <c r="AH36" s="40" t="n">
        <f aca="false">SUM(AH32:AH35)</f>
        <v>136811.645226326</v>
      </c>
      <c r="AI36" s="40" t="n">
        <f aca="false">SUM(AI32:AI35)</f>
        <v>144504.804828655</v>
      </c>
      <c r="AJ36" s="40" t="n">
        <f aca="false">SUM(AJ32:AJ35)</f>
        <v>152516.794284044</v>
      </c>
      <c r="AK36" s="40" t="n">
        <f aca="false">SUM(AK32:AK35)</f>
        <v>160860.42230396</v>
      </c>
      <c r="AL36" s="40" t="n">
        <f aca="false">SUM(AL32:AL35)</f>
        <v>169549.010225915</v>
      </c>
    </row>
    <row r="38" customFormat="false" ht="15" hidden="false" customHeight="false" outlineLevel="0" collapsed="false">
      <c r="A38" s="8" t="s">
        <v>133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</row>
    <row r="39" customFormat="false" ht="15" hidden="false" customHeight="false" outlineLevel="0" collapsed="false">
      <c r="A39" s="10" t="s">
        <v>124</v>
      </c>
      <c r="C39" s="35" t="n">
        <f aca="false">C6+C17+C28</f>
        <v>133</v>
      </c>
      <c r="D39" s="35" t="n">
        <f aca="false">D6+D17+D28</f>
        <v>186.37</v>
      </c>
      <c r="E39" s="35" t="n">
        <f aca="false">E6+E17+E28</f>
        <v>241.1523</v>
      </c>
      <c r="F39" s="35" t="n">
        <f aca="false">F6+F17+F28</f>
        <v>297.451057</v>
      </c>
      <c r="G39" s="35" t="n">
        <f aca="false">G6+G17+G28</f>
        <v>355.37464083</v>
      </c>
      <c r="H39" s="35" t="n">
        <f aca="false">H6+H17+H28</f>
        <v>415.0358717737</v>
      </c>
      <c r="I39" s="35" t="n">
        <f aca="false">I6+I17+I28</f>
        <v>476.552269213323</v>
      </c>
      <c r="J39" s="35" t="n">
        <f aca="false">J6+J17+J28</f>
        <v>540.046311869135</v>
      </c>
      <c r="K39" s="35" t="n">
        <f aca="false">K6+K17+K28</f>
        <v>605.64571023513</v>
      </c>
      <c r="L39" s="35" t="n">
        <f aca="false">L6+L17+L28</f>
        <v>673.483691841665</v>
      </c>
      <c r="M39" s="35" t="n">
        <f aca="false">M6+M17+M28</f>
        <v>743.699300006619</v>
      </c>
      <c r="N39" s="35" t="n">
        <f aca="false">N6+N17+N28</f>
        <v>816.437706768989</v>
      </c>
      <c r="O39" s="35" t="n">
        <f aca="false">O6+O17+O28</f>
        <v>891.850540732858</v>
      </c>
      <c r="P39" s="35" t="n">
        <f aca="false">P6+P17+P28</f>
        <v>970.096230585316</v>
      </c>
      <c r="Q39" s="35" t="n">
        <f aca="false">Q6+Q17+Q28</f>
        <v>1051.34036508947</v>
      </c>
      <c r="R39" s="35" t="n">
        <f aca="false">R6+R17+R28</f>
        <v>1135.75607039301</v>
      </c>
      <c r="S39" s="35" t="n">
        <f aca="false">S6+S17+S28</f>
        <v>1223.52440553427</v>
      </c>
      <c r="T39" s="35" t="n">
        <f aca="false">T6+T17+T28</f>
        <v>1314.83477707097</v>
      </c>
      <c r="U39" s="35" t="n">
        <f aca="false">U6+U17+U28</f>
        <v>1409.88537380282</v>
      </c>
      <c r="V39" s="35" t="n">
        <f aca="false">V6+V17+V28</f>
        <v>1508.88362260666</v>
      </c>
      <c r="W39" s="35" t="n">
        <f aca="false">W6+W17+W28</f>
        <v>1612.04666645355</v>
      </c>
      <c r="X39" s="35" t="n">
        <f aca="false">X6+X17+X28</f>
        <v>1719.60186572977</v>
      </c>
      <c r="Y39" s="35" t="n">
        <f aca="false">Y6+Y17+Y28</f>
        <v>1831.78732403958</v>
      </c>
      <c r="Z39" s="35" t="n">
        <f aca="false">Z6+Z17+Z28</f>
        <v>1948.8524397254</v>
      </c>
      <c r="AA39" s="35" t="n">
        <f aca="false">AA6+AA17+AA28</f>
        <v>2071.0584844028</v>
      </c>
      <c r="AB39" s="35" t="n">
        <f aca="false">AB6+AB17+AB28</f>
        <v>2198.67920987172</v>
      </c>
      <c r="AC39" s="35" t="n">
        <f aca="false">AC6+AC17+AC28</f>
        <v>2332.00148483286</v>
      </c>
      <c r="AD39" s="35" t="n">
        <f aca="false">AD6+AD17+AD28</f>
        <v>2471.32596290925</v>
      </c>
      <c r="AE39" s="35" t="n">
        <f aca="false">AE6+AE17+AE28</f>
        <v>2616.96778354726</v>
      </c>
      <c r="AF39" s="35" t="n">
        <f aca="false">AF6+AF17+AF28</f>
        <v>2769.2573074497</v>
      </c>
      <c r="AG39" s="35" t="n">
        <f aca="false">AG6+AG17+AG28</f>
        <v>2928.54088827561</v>
      </c>
      <c r="AH39" s="35" t="n">
        <f aca="false">AH6+AH17+AH28</f>
        <v>3095.18168242772</v>
      </c>
      <c r="AI39" s="35" t="n">
        <f aca="false">AI6+AI17+AI28</f>
        <v>3269.56049883878</v>
      </c>
      <c r="AJ39" s="35" t="n">
        <f aca="false">AJ6+AJ17+AJ28</f>
        <v>3452.07669076348</v>
      </c>
      <c r="AK39" s="35" t="n">
        <f aca="false">AK6+AK17+AK28</f>
        <v>3643.14909168204</v>
      </c>
      <c r="AL39" s="35" t="n">
        <f aca="false">AL6+AL17+AL28</f>
        <v>3843.21699752666</v>
      </c>
    </row>
    <row r="40" customFormat="false" ht="15" hidden="false" customHeight="false" outlineLevel="0" collapsed="false">
      <c r="A40" s="10" t="s">
        <v>125</v>
      </c>
      <c r="C40" s="35" t="n">
        <f aca="false">C7+C18+C29</f>
        <v>57</v>
      </c>
      <c r="D40" s="35" t="n">
        <f aca="false">D7+D18+D29</f>
        <v>59.83</v>
      </c>
      <c r="E40" s="35" t="n">
        <f aca="false">E7+E18+E29</f>
        <v>62.8007</v>
      </c>
      <c r="F40" s="35" t="n">
        <f aca="false">F7+F18+F29</f>
        <v>65.919103</v>
      </c>
      <c r="G40" s="35" t="n">
        <f aca="false">G7+G18+G29</f>
        <v>69.19256087</v>
      </c>
      <c r="H40" s="35" t="n">
        <f aca="false">H7+H18+H29</f>
        <v>72.6287917423</v>
      </c>
      <c r="I40" s="35" t="n">
        <f aca="false">I7+I18+I29</f>
        <v>76.235898271367</v>
      </c>
      <c r="J40" s="35" t="n">
        <f aca="false">J7+J18+J29</f>
        <v>80.0223868045655</v>
      </c>
      <c r="K40" s="35" t="n">
        <f aca="false">K7+K18+K29</f>
        <v>83.997187509209</v>
      </c>
      <c r="L40" s="35" t="n">
        <f aca="false">L7+L18+L29</f>
        <v>88.1696755036614</v>
      </c>
      <c r="M40" s="35" t="n">
        <f aca="false">M7+M18+M29</f>
        <v>92.549693042596</v>
      </c>
      <c r="N40" s="35" t="n">
        <f aca="false">N7+N18+N29</f>
        <v>97.1475728090275</v>
      </c>
      <c r="O40" s="35" t="n">
        <f aca="false">O7+O18+O29</f>
        <v>101.974162368353</v>
      </c>
      <c r="P40" s="35" t="n">
        <f aca="false">P7+P18+P29</f>
        <v>107.040849842399</v>
      </c>
      <c r="Q40" s="35" t="n">
        <f aca="false">Q7+Q18+Q29</f>
        <v>112.359590864373</v>
      </c>
      <c r="R40" s="35" t="n">
        <f aca="false">R7+R18+R29</f>
        <v>117.942936878639</v>
      </c>
      <c r="S40" s="35" t="n">
        <f aca="false">S7+S18+S29</f>
        <v>123.804064852461</v>
      </c>
      <c r="T40" s="35" t="n">
        <f aca="false">T7+T18+T29</f>
        <v>129.956808470169</v>
      </c>
      <c r="U40" s="35" t="n">
        <f aca="false">U7+U18+U29</f>
        <v>136.415690883767</v>
      </c>
      <c r="V40" s="35" t="n">
        <f aca="false">V7+V18+V29</f>
        <v>143.195959097648</v>
      </c>
      <c r="W40" s="35" t="n">
        <f aca="false">W7+W18+W29</f>
        <v>150.31362006901</v>
      </c>
      <c r="X40" s="35" t="n">
        <f aca="false">X7+X18+X29</f>
        <v>157.7854786096</v>
      </c>
      <c r="Y40" s="35" t="n">
        <f aca="false">Y7+Y18+Y29</f>
        <v>165.629177178705</v>
      </c>
      <c r="Z40" s="35" t="n">
        <f aca="false">Z7+Z18+Z29</f>
        <v>173.86323766181</v>
      </c>
      <c r="AA40" s="35" t="n">
        <f aca="false">AA7+AA18+AA29</f>
        <v>182.507105234037</v>
      </c>
      <c r="AB40" s="35" t="n">
        <f aca="false">AB7+AB18+AB29</f>
        <v>191.581194412441</v>
      </c>
      <c r="AC40" s="35" t="n">
        <f aca="false">AC7+AC18+AC29</f>
        <v>201.106937406434</v>
      </c>
      <c r="AD40" s="35" t="n">
        <f aca="false">AD7+AD18+AD29</f>
        <v>211.10683488106</v>
      </c>
      <c r="AE40" s="35" t="n">
        <f aca="false">AE7+AE18+AE29</f>
        <v>221.604509253591</v>
      </c>
      <c r="AF40" s="35" t="n">
        <f aca="false">AF7+AF18+AF29</f>
        <v>232.624760649887</v>
      </c>
      <c r="AG40" s="35" t="n">
        <f aca="false">AG7+AG18+AG29</f>
        <v>244.193625653342</v>
      </c>
      <c r="AH40" s="35" t="n">
        <f aca="false">AH7+AH18+AH29</f>
        <v>256.338438985808</v>
      </c>
      <c r="AI40" s="35" t="n">
        <f aca="false">AI7+AI18+AI29</f>
        <v>269.08789826689</v>
      </c>
      <c r="AJ40" s="35" t="n">
        <f aca="false">AJ7+AJ18+AJ29</f>
        <v>282.472132005298</v>
      </c>
      <c r="AK40" s="35" t="n">
        <f aca="false">AK7+AK18+AK29</f>
        <v>296.522770983628</v>
      </c>
      <c r="AL40" s="35" t="n">
        <f aca="false">AL7+AL18+AL29</f>
        <v>311.273023205998</v>
      </c>
    </row>
    <row r="41" customFormat="false" ht="15" hidden="false" customHeight="false" outlineLevel="0" collapsed="false">
      <c r="A41" s="10" t="s">
        <v>126</v>
      </c>
      <c r="C41" s="35" t="n">
        <f aca="false">C8+C19+C30</f>
        <v>-3.63</v>
      </c>
      <c r="D41" s="35" t="n">
        <f aca="false">D8+D19+D30</f>
        <v>-5.0477</v>
      </c>
      <c r="E41" s="35" t="n">
        <f aca="false">E8+E19+E30</f>
        <v>-6.501943</v>
      </c>
      <c r="F41" s="35" t="n">
        <f aca="false">F8+F19+F30</f>
        <v>-7.99551917</v>
      </c>
      <c r="G41" s="35" t="n">
        <f aca="false">G8+G19+G30</f>
        <v>-9.5313299263</v>
      </c>
      <c r="H41" s="35" t="n">
        <f aca="false">H8+H19+H30</f>
        <v>-11.112394302677</v>
      </c>
      <c r="I41" s="35" t="n">
        <f aca="false">I8+I19+I30</f>
        <v>-12.7418556155554</v>
      </c>
      <c r="J41" s="35" t="n">
        <f aca="false">J8+J19+J30</f>
        <v>-14.4229884385707</v>
      </c>
      <c r="K41" s="35" t="n">
        <f aca="false">K8+K19+K30</f>
        <v>-16.1592059026733</v>
      </c>
      <c r="L41" s="35" t="n">
        <f aca="false">L8+L19+L30</f>
        <v>-17.954067338708</v>
      </c>
      <c r="M41" s="35" t="n">
        <f aca="false">M8+M19+M30</f>
        <v>-19.8112862802258</v>
      </c>
      <c r="N41" s="35" t="n">
        <f aca="false">N8+N19+N30</f>
        <v>-21.7347388451587</v>
      </c>
      <c r="O41" s="35" t="n">
        <f aca="false">O8+O19+O30</f>
        <v>-23.7284725158939</v>
      </c>
      <c r="P41" s="35" t="n">
        <f aca="false">P8+P19+P30</f>
        <v>-25.7967153382457</v>
      </c>
      <c r="Q41" s="35" t="n">
        <f aca="false">Q8+Q19+Q30</f>
        <v>-27.9438855608273</v>
      </c>
      <c r="R41" s="35" t="n">
        <f aca="false">R8+R19+R30</f>
        <v>-30.1746017373845</v>
      </c>
      <c r="S41" s="35" t="n">
        <f aca="false">S8+S19+S30</f>
        <v>-32.4936933157586</v>
      </c>
      <c r="T41" s="35" t="n">
        <f aca="false">T8+T19+T30</f>
        <v>-34.9062117383189</v>
      </c>
      <c r="U41" s="35" t="n">
        <f aca="false">U8+U19+U30</f>
        <v>-37.4174420799248</v>
      </c>
      <c r="V41" s="35" t="n">
        <f aca="false">V8+V19+V30</f>
        <v>-40.0329152507662</v>
      </c>
      <c r="W41" s="35" t="n">
        <f aca="false">W8+W19+W30</f>
        <v>-42.7584207927836</v>
      </c>
      <c r="X41" s="35" t="n">
        <f aca="false">X8+X19+X30</f>
        <v>-45.6000202997878</v>
      </c>
      <c r="Y41" s="35" t="n">
        <f aca="false">Y8+Y19+Y30</f>
        <v>-48.5640614928887</v>
      </c>
      <c r="Z41" s="35" t="n">
        <f aca="false">Z8+Z19+Z30</f>
        <v>-51.6571929844112</v>
      </c>
      <c r="AA41" s="35" t="n">
        <f aca="false">AA8+AA19+AA30</f>
        <v>-54.8863797651196</v>
      </c>
      <c r="AB41" s="35" t="n">
        <f aca="false">AB8+AB19+AB30</f>
        <v>-58.2589194512965</v>
      </c>
      <c r="AC41" s="35" t="n">
        <f aca="false">AC8+AC19+AC30</f>
        <v>-61.7824593300412</v>
      </c>
      <c r="AD41" s="35" t="n">
        <f aca="false">AD8+AD19+AD30</f>
        <v>-65.4650142430513</v>
      </c>
      <c r="AE41" s="35" t="n">
        <f aca="false">AE8+AE19+AE30</f>
        <v>-69.3149853511565</v>
      </c>
      <c r="AF41" s="35" t="n">
        <f aca="false">AF8+AF19+AF30</f>
        <v>-73.3411798239705</v>
      </c>
      <c r="AG41" s="35" t="n">
        <f aca="false">AG8+AG19+AG30</f>
        <v>-77.5528315012356</v>
      </c>
      <c r="AH41" s="35" t="n">
        <f aca="false">AH8+AH19+AH30</f>
        <v>-81.9596225747486</v>
      </c>
      <c r="AI41" s="35" t="n">
        <f aca="false">AI8+AI19+AI30</f>
        <v>-86.5717063421907</v>
      </c>
      <c r="AJ41" s="35" t="n">
        <f aca="false">AJ8+AJ19+AJ30</f>
        <v>-91.3997310867381</v>
      </c>
      <c r="AK41" s="35" t="n">
        <f aca="false">AK8+AK19+AK30</f>
        <v>-96.4548651390118</v>
      </c>
      <c r="AL41" s="35" t="n">
        <f aca="false">AL8+AL19+AL30</f>
        <v>-101.748823180743</v>
      </c>
    </row>
    <row r="42" customFormat="false" ht="15" hidden="false" customHeight="false" outlineLevel="0" collapsed="false">
      <c r="A42" s="36" t="s">
        <v>24</v>
      </c>
      <c r="B42" s="38" t="n">
        <f aca="false">B9+B20+B31</f>
        <v>133</v>
      </c>
      <c r="C42" s="38" t="n">
        <f aca="false">C9+C20+C31</f>
        <v>186.37</v>
      </c>
      <c r="D42" s="38" t="n">
        <f aca="false">D9+D20+D31</f>
        <v>241.1523</v>
      </c>
      <c r="E42" s="38" t="n">
        <f aca="false">E9+E20+E31</f>
        <v>297.451057</v>
      </c>
      <c r="F42" s="38" t="n">
        <f aca="false">F9+F20+F31</f>
        <v>355.37464083</v>
      </c>
      <c r="G42" s="38" t="n">
        <f aca="false">G9+G20+G31</f>
        <v>415.0358717737</v>
      </c>
      <c r="H42" s="38" t="n">
        <f aca="false">H9+H20+H31</f>
        <v>476.552269213323</v>
      </c>
      <c r="I42" s="38" t="n">
        <f aca="false">I9+I20+I31</f>
        <v>540.046311869135</v>
      </c>
      <c r="J42" s="38" t="n">
        <f aca="false">J9+J20+J31</f>
        <v>605.64571023513</v>
      </c>
      <c r="K42" s="38" t="n">
        <f aca="false">K9+K20+K31</f>
        <v>673.483691841665</v>
      </c>
      <c r="L42" s="38" t="n">
        <f aca="false">L9+L20+L31</f>
        <v>743.699300006619</v>
      </c>
      <c r="M42" s="38" t="n">
        <f aca="false">M9+M20+M31</f>
        <v>816.437706768989</v>
      </c>
      <c r="N42" s="38" t="n">
        <f aca="false">N9+N20+N31</f>
        <v>891.850540732858</v>
      </c>
      <c r="O42" s="38" t="n">
        <f aca="false">O9+O20+O31</f>
        <v>970.096230585316</v>
      </c>
      <c r="P42" s="38" t="n">
        <f aca="false">P9+P20+P31</f>
        <v>1051.34036508947</v>
      </c>
      <c r="Q42" s="38" t="n">
        <f aca="false">Q9+Q20+Q31</f>
        <v>1135.75607039301</v>
      </c>
      <c r="R42" s="38" t="n">
        <f aca="false">R9+R20+R31</f>
        <v>1223.52440553427</v>
      </c>
      <c r="S42" s="38" t="n">
        <f aca="false">S9+S20+S31</f>
        <v>1314.83477707097</v>
      </c>
      <c r="T42" s="38" t="n">
        <f aca="false">T9+T20+T31</f>
        <v>1409.88537380282</v>
      </c>
      <c r="U42" s="38" t="n">
        <f aca="false">U9+U20+U31</f>
        <v>1508.88362260666</v>
      </c>
      <c r="V42" s="38" t="n">
        <f aca="false">V9+V20+V31</f>
        <v>1612.04666645355</v>
      </c>
      <c r="W42" s="38" t="n">
        <f aca="false">W9+W20+W31</f>
        <v>1719.60186572977</v>
      </c>
      <c r="X42" s="38" t="n">
        <f aca="false">X9+X20+X31</f>
        <v>1831.78732403958</v>
      </c>
      <c r="Y42" s="38" t="n">
        <f aca="false">Y9+Y20+Y31</f>
        <v>1948.8524397254</v>
      </c>
      <c r="Z42" s="38" t="n">
        <f aca="false">Z9+Z20+Z31</f>
        <v>2071.0584844028</v>
      </c>
      <c r="AA42" s="38" t="n">
        <f aca="false">AA9+AA20+AA31</f>
        <v>2198.67920987172</v>
      </c>
      <c r="AB42" s="38" t="n">
        <f aca="false">AB9+AB20+AB31</f>
        <v>2332.00148483286</v>
      </c>
      <c r="AC42" s="38" t="n">
        <f aca="false">AC9+AC20+AC31</f>
        <v>2471.32596290925</v>
      </c>
      <c r="AD42" s="38" t="n">
        <f aca="false">AD9+AD20+AD31</f>
        <v>2616.96778354726</v>
      </c>
      <c r="AE42" s="38" t="n">
        <f aca="false">AE9+AE20+AE31</f>
        <v>2769.2573074497</v>
      </c>
      <c r="AF42" s="38" t="n">
        <f aca="false">AF9+AF20+AF31</f>
        <v>2928.54088827561</v>
      </c>
      <c r="AG42" s="38" t="n">
        <f aca="false">AG9+AG20+AG31</f>
        <v>3095.18168242772</v>
      </c>
      <c r="AH42" s="38" t="n">
        <f aca="false">AH9+AH20+AH31</f>
        <v>3269.56049883878</v>
      </c>
      <c r="AI42" s="38" t="n">
        <f aca="false">AI9+AI20+AI31</f>
        <v>3452.07669076348</v>
      </c>
      <c r="AJ42" s="38" t="n">
        <f aca="false">AJ9+AJ20+AJ31</f>
        <v>3643.14909168204</v>
      </c>
      <c r="AK42" s="38" t="n">
        <f aca="false">AK9+AK20+AK31</f>
        <v>3843.21699752666</v>
      </c>
      <c r="AL42" s="38" t="n">
        <f aca="false">AL9+AL20+AL31</f>
        <v>4052.74119755191</v>
      </c>
    </row>
    <row r="43" customFormat="false" ht="15" hidden="false" customHeight="false" outlineLevel="0" collapsed="false">
      <c r="A43" s="10" t="s">
        <v>127</v>
      </c>
      <c r="C43" s="39" t="n">
        <f aca="false">C10+C21+C32</f>
        <v>13867</v>
      </c>
      <c r="D43" s="39" t="n">
        <f aca="false">D10+D21+D32</f>
        <v>20618.285</v>
      </c>
      <c r="E43" s="39" t="n">
        <f aca="false">E10+E21+E32</f>
        <v>27623.161925</v>
      </c>
      <c r="F43" s="39" t="n">
        <f aca="false">F10+F21+F32</f>
        <v>34895.131729625</v>
      </c>
      <c r="G43" s="39" t="n">
        <f aca="false">G10+G21+G32</f>
        <v>42448.2892228231</v>
      </c>
      <c r="H43" s="39" t="n">
        <f aca="false">H10+H21+H32</f>
        <v>50297.3525970567</v>
      </c>
      <c r="I43" s="39" t="n">
        <f aca="false">I10+I21+I32</f>
        <v>58457.6943371399</v>
      </c>
      <c r="J43" s="39" t="n">
        <f aca="false">J10+J21+J32</f>
        <v>66945.3735765118</v>
      </c>
      <c r="K43" s="39" t="n">
        <f aca="false">K10+K21+K32</f>
        <v>75777.1699719981</v>
      </c>
      <c r="L43" s="39" t="n">
        <f aca="false">L10+L21+L32</f>
        <v>84970.6191715332</v>
      </c>
      <c r="M43" s="39" t="n">
        <f aca="false">M10+M21+M32</f>
        <v>94544.0499529067</v>
      </c>
      <c r="N43" s="39" t="n">
        <f aca="false">N10+N21+N32</f>
        <v>104516.623115366</v>
      </c>
      <c r="O43" s="39" t="n">
        <f aca="false">O10+O21+O32</f>
        <v>114908.372209857</v>
      </c>
      <c r="P43" s="39" t="n">
        <f aca="false">P10+P21+P32</f>
        <v>125740.246197825</v>
      </c>
      <c r="Q43" s="39" t="n">
        <f aca="false">Q10+Q21+Q32</f>
        <v>137034.154132865</v>
      </c>
      <c r="R43" s="39" t="n">
        <f aca="false">R10+R21+R32</f>
        <v>148813.01196405</v>
      </c>
      <c r="S43" s="39" t="n">
        <f aca="false">S10+S21+S32</f>
        <v>161100.791564572</v>
      </c>
      <c r="T43" s="39" t="n">
        <f aca="false">T10+T21+T32</f>
        <v>173922.572094342</v>
      </c>
      <c r="U43" s="39" t="n">
        <f aca="false">U10+U21+U32</f>
        <v>187304.59381047</v>
      </c>
      <c r="V43" s="39" t="n">
        <f aca="false">V10+V21+V32</f>
        <v>201274.314445068</v>
      </c>
      <c r="W43" s="39" t="n">
        <f aca="false">W10+W21+W32</f>
        <v>215860.468275622</v>
      </c>
      <c r="X43" s="39" t="n">
        <f aca="false">X10+X21+X32</f>
        <v>231093.128019262</v>
      </c>
      <c r="Y43" s="39" t="n">
        <f aca="false">Y10+Y21+Y32</f>
        <v>247003.769688641</v>
      </c>
      <c r="Z43" s="39" t="n">
        <f aca="false">Z10+Z21+Z32</f>
        <v>263625.340553821</v>
      </c>
      <c r="AA43" s="39" t="n">
        <f aca="false">AA10+AA21+AA32</f>
        <v>280992.330361601</v>
      </c>
      <c r="AB43" s="39" t="n">
        <f aca="false">AB10+AB21+AB32</f>
        <v>299140.845971096</v>
      </c>
      <c r="AC43" s="39" t="n">
        <f aca="false">AC10+AC21+AC32</f>
        <v>318108.689572065</v>
      </c>
      <c r="AD43" s="39" t="n">
        <f aca="false">AD10+AD21+AD32</f>
        <v>337935.440660665</v>
      </c>
      <c r="AE43" s="39" t="n">
        <f aca="false">AE10+AE21+AE32</f>
        <v>358662.541955744</v>
      </c>
      <c r="AF43" s="39" t="n">
        <f aca="false">AF10+AF21+AF32</f>
        <v>380333.389447776</v>
      </c>
      <c r="AG43" s="39" t="n">
        <f aca="false">AG10+AG21+AG32</f>
        <v>402993.42678185</v>
      </c>
      <c r="AH43" s="39" t="n">
        <f aca="false">AH10+AH21+AH32</f>
        <v>426690.244185991</v>
      </c>
      <c r="AI43" s="39" t="n">
        <f aca="false">AI10+AI21+AI32</f>
        <v>451473.68216638</v>
      </c>
      <c r="AJ43" s="39" t="n">
        <f aca="false">AJ10+AJ21+AJ32</f>
        <v>477395.940201849</v>
      </c>
      <c r="AK43" s="39" t="n">
        <f aca="false">AK10+AK21+AK32</f>
        <v>504511.69068138</v>
      </c>
      <c r="AL43" s="39" t="n">
        <f aca="false">AL10+AL21+AL32</f>
        <v>532878.198340241</v>
      </c>
    </row>
    <row r="44" customFormat="false" ht="15" hidden="false" customHeight="false" outlineLevel="0" collapsed="false">
      <c r="A44" s="10" t="s">
        <v>128</v>
      </c>
      <c r="C44" s="39" t="n">
        <f aca="false">C11+C22+C33</f>
        <v>6943</v>
      </c>
      <c r="D44" s="39" t="n">
        <f aca="false">D11+D22+D33</f>
        <v>7270.17</v>
      </c>
      <c r="E44" s="39" t="n">
        <f aca="false">E11+E22+E33</f>
        <v>7612.8993</v>
      </c>
      <c r="F44" s="39" t="n">
        <f aca="false">F11+F22+F33</f>
        <v>7971.933897</v>
      </c>
      <c r="G44" s="39" t="n">
        <f aca="false">G11+G22+G33</f>
        <v>8348.05580913</v>
      </c>
      <c r="H44" s="39" t="n">
        <f aca="false">H11+H22+H33</f>
        <v>8742.0848255577</v>
      </c>
      <c r="I44" s="39" t="n">
        <f aca="false">I11+I22+I33</f>
        <v>9154.88034184563</v>
      </c>
      <c r="J44" s="39" t="n">
        <f aca="false">J11+J22+J33</f>
        <v>9587.34328494837</v>
      </c>
      <c r="K44" s="39" t="n">
        <f aca="false">K11+K22+K33</f>
        <v>10040.4181322467</v>
      </c>
      <c r="L44" s="39" t="n">
        <f aca="false">L11+L22+L33</f>
        <v>10515.0950292319</v>
      </c>
      <c r="M44" s="39" t="n">
        <f aca="false">M11+M22+M33</f>
        <v>11012.4120106813</v>
      </c>
      <c r="N44" s="39" t="n">
        <f aca="false">N11+N22+N33</f>
        <v>11533.4573304027</v>
      </c>
      <c r="O44" s="39" t="n">
        <f aca="false">O11+O22+O33</f>
        <v>12079.3719048777</v>
      </c>
      <c r="P44" s="39" t="n">
        <f aca="false">P11+P22+P33</f>
        <v>12651.3518763946</v>
      </c>
      <c r="Q44" s="39" t="n">
        <f aca="false">Q11+Q22+Q33</f>
        <v>13250.6513015382</v>
      </c>
      <c r="R44" s="39" t="n">
        <f aca="false">R11+R22+R33</f>
        <v>13878.584971192</v>
      </c>
      <c r="S44" s="39" t="n">
        <f aca="false">S11+S22+S33</f>
        <v>14536.5313685116</v>
      </c>
      <c r="T44" s="39" t="n">
        <f aca="false">T11+T22+T33</f>
        <v>15225.9357716476</v>
      </c>
      <c r="U44" s="39" t="n">
        <f aca="false">U11+U22+U33</f>
        <v>15948.3135083287</v>
      </c>
      <c r="V44" s="39" t="n">
        <f aca="false">V11+V22+V33</f>
        <v>16705.2533697679</v>
      </c>
      <c r="W44" s="39" t="n">
        <f aca="false">W11+W22+W33</f>
        <v>17498.4211917199</v>
      </c>
      <c r="X44" s="39" t="n">
        <f aca="false">X11+X22+X33</f>
        <v>18329.5636109081</v>
      </c>
      <c r="Y44" s="39" t="n">
        <f aca="false">Y11+Y22+Y33</f>
        <v>19200.5120054398</v>
      </c>
      <c r="Z44" s="39" t="n">
        <f aca="false">Z11+Z22+Z33</f>
        <v>20113.1866282575</v>
      </c>
      <c r="AA44" s="39" t="n">
        <f aca="false">AA11+AA22+AA33</f>
        <v>21069.600943118</v>
      </c>
      <c r="AB44" s="39" t="n">
        <f aca="false">AB11+AB22+AB33</f>
        <v>22071.8661730594</v>
      </c>
      <c r="AC44" s="39" t="n">
        <f aca="false">AC11+AC22+AC33</f>
        <v>23122.1960718092</v>
      </c>
      <c r="AD44" s="39" t="n">
        <f aca="false">AD11+AD22+AD33</f>
        <v>24222.9119291004</v>
      </c>
      <c r="AE44" s="39" t="n">
        <f aca="false">AE11+AE22+AE33</f>
        <v>25376.4478214042</v>
      </c>
      <c r="AF44" s="39" t="n">
        <f aca="false">AF11+AF22+AF33</f>
        <v>26585.3561201572</v>
      </c>
      <c r="AG44" s="39" t="n">
        <f aca="false">AG11+AG22+AG33</f>
        <v>27852.3132701551</v>
      </c>
      <c r="AH44" s="39" t="n">
        <f aca="false">AH11+AH22+AH33</f>
        <v>29180.1258514125</v>
      </c>
      <c r="AI44" s="39" t="n">
        <f aca="false">AI11+AI22+AI33</f>
        <v>30571.7369384427</v>
      </c>
      <c r="AJ44" s="39" t="n">
        <f aca="false">AJ11+AJ22+AJ33</f>
        <v>32030.2327716029</v>
      </c>
      <c r="AK44" s="39" t="n">
        <f aca="false">AK11+AK22+AK33</f>
        <v>33558.8497558706</v>
      </c>
      <c r="AL44" s="39" t="n">
        <f aca="false">AL11+AL22+AL33</f>
        <v>35160.9818031792</v>
      </c>
    </row>
    <row r="45" customFormat="false" ht="15" hidden="false" customHeight="false" outlineLevel="0" collapsed="false">
      <c r="A45" s="10" t="s">
        <v>129</v>
      </c>
      <c r="C45" s="39" t="n">
        <f aca="false">C12+C23+C34</f>
        <v>104.655</v>
      </c>
      <c r="D45" s="39" t="n">
        <f aca="false">D12+D23+D34</f>
        <v>164.102775</v>
      </c>
      <c r="E45" s="39" t="n">
        <f aca="false">E12+E23+E34</f>
        <v>226.100293875</v>
      </c>
      <c r="F45" s="39" t="n">
        <f aca="false">F12+F23+F34</f>
        <v>290.764882794375</v>
      </c>
      <c r="G45" s="39" t="n">
        <f aca="false">G12+G23+G34</f>
        <v>358.219164508847</v>
      </c>
      <c r="H45" s="39" t="n">
        <f aca="false">H12+H23+H34</f>
        <v>428.591301544136</v>
      </c>
      <c r="I45" s="39" t="n">
        <f aca="false">I12+I23+I34</f>
        <v>502.015250674947</v>
      </c>
      <c r="J45" s="39" t="n">
        <f aca="false">J12+J23+J34</f>
        <v>578.631029208255</v>
      </c>
      <c r="K45" s="39" t="n">
        <f aca="false">K12+K23+K34</f>
        <v>658.584993629917</v>
      </c>
      <c r="L45" s="39" t="n">
        <f aca="false">L12+L23+L34</f>
        <v>742.030131194848</v>
      </c>
      <c r="M45" s="39" t="n">
        <f aca="false">M12+M23+M34</f>
        <v>829.126365068539</v>
      </c>
      <c r="N45" s="39" t="n">
        <f aca="false">N12+N23+N34</f>
        <v>920.040873656447</v>
      </c>
      <c r="O45" s="39" t="n">
        <f aca="false">O12+O23+O34</f>
        <v>1014.94842478804</v>
      </c>
      <c r="P45" s="39" t="n">
        <f aca="false">P12+P23+P34</f>
        <v>1114.03172545383</v>
      </c>
      <c r="Q45" s="39" t="n">
        <f aca="false">Q12+Q23+Q34</f>
        <v>1217.48178782699</v>
      </c>
      <c r="R45" s="39" t="n">
        <f aca="false">R12+R23+R34</f>
        <v>1325.49831233568</v>
      </c>
      <c r="S45" s="39" t="n">
        <f aca="false">S12+S23+S34</f>
        <v>1438.29008858891</v>
      </c>
      <c r="T45" s="39" t="n">
        <f aca="false">T12+T23+T34</f>
        <v>1556.07541499647</v>
      </c>
      <c r="U45" s="39" t="n">
        <f aca="false">U12+U23+U34</f>
        <v>1679.082537964</v>
      </c>
      <c r="V45" s="39" t="n">
        <f aca="false">V12+V23+V34</f>
        <v>1807.55011158542</v>
      </c>
      <c r="W45" s="39" t="n">
        <f aca="false">W12+W23+W34</f>
        <v>1941.72767879958</v>
      </c>
      <c r="X45" s="39" t="n">
        <f aca="false">X12+X23+X34</f>
        <v>2081.87617502341</v>
      </c>
      <c r="Y45" s="39" t="n">
        <f aca="false">Y12+Y23+Y34</f>
        <v>2228.26845532233</v>
      </c>
      <c r="Z45" s="39" t="n">
        <f aca="false">Z12+Z23+Z34</f>
        <v>2381.1898462291</v>
      </c>
      <c r="AA45" s="39" t="n">
        <f aca="false">AA12+AA23+AA34</f>
        <v>2540.9387233752</v>
      </c>
      <c r="AB45" s="39" t="n">
        <f aca="false">AB12+AB23+AB34</f>
        <v>2707.82711615445</v>
      </c>
      <c r="AC45" s="39" t="n">
        <f aca="false">AC12+AC23+AC34</f>
        <v>2882.18134069646</v>
      </c>
      <c r="AD45" s="39" t="n">
        <f aca="false">AD12+AD23+AD34</f>
        <v>3064.34266248867</v>
      </c>
      <c r="AE45" s="39" t="n">
        <f aca="false">AE12+AE23+AE34</f>
        <v>3254.66799004947</v>
      </c>
      <c r="AF45" s="39" t="n">
        <f aca="false">AF12+AF23+AF34</f>
        <v>3453.53060112192</v>
      </c>
      <c r="AG45" s="39" t="n">
        <f aca="false">AG12+AG23+AG34</f>
        <v>3661.32090292754</v>
      </c>
      <c r="AH45" s="39" t="n">
        <f aca="false">AH12+AH23+AH34</f>
        <v>3878.44722809343</v>
      </c>
      <c r="AI45" s="39" t="n">
        <f aca="false">AI12+AI23+AI34</f>
        <v>4105.33666794283</v>
      </c>
      <c r="AJ45" s="39" t="n">
        <f aca="false">AJ12+AJ23+AJ34</f>
        <v>4342.43594492011</v>
      </c>
      <c r="AK45" s="39" t="n">
        <f aca="false">AK12+AK23+AK34</f>
        <v>4590.21232600575</v>
      </c>
      <c r="AL45" s="39" t="n">
        <f aca="false">AL12+AL23+AL34</f>
        <v>4849.15457906574</v>
      </c>
    </row>
    <row r="46" customFormat="false" ht="15" hidden="false" customHeight="false" outlineLevel="0" collapsed="false">
      <c r="A46" s="10" t="s">
        <v>130</v>
      </c>
      <c r="C46" s="39" t="n">
        <f aca="false">C13+C24+C35</f>
        <v>-296.37</v>
      </c>
      <c r="D46" s="39" t="n">
        <f aca="false">D13+D24+D35</f>
        <v>-429.39585</v>
      </c>
      <c r="E46" s="39" t="n">
        <f aca="false">E13+E24+E35</f>
        <v>-567.02978925</v>
      </c>
      <c r="F46" s="39" t="n">
        <f aca="false">F13+F24+F35</f>
        <v>-709.54128659625</v>
      </c>
      <c r="G46" s="39" t="n">
        <f aca="false">G13+G24+G35</f>
        <v>-857.211599405231</v>
      </c>
      <c r="H46" s="39" t="n">
        <f aca="false">H13+H24+H35</f>
        <v>-1010.3343870187</v>
      </c>
      <c r="I46" s="39" t="n">
        <f aca="false">I13+I24+I35</f>
        <v>-1169.21635314866</v>
      </c>
      <c r="J46" s="39" t="n">
        <f aca="false">J13+J24+J35</f>
        <v>-1334.17791867028</v>
      </c>
      <c r="K46" s="39" t="n">
        <f aca="false">K13+K24+K35</f>
        <v>-1505.55392634156</v>
      </c>
      <c r="L46" s="39" t="n">
        <f aca="false">L13+L24+L35</f>
        <v>-1683.69437905319</v>
      </c>
      <c r="M46" s="39" t="n">
        <f aca="false">M13+M24+M35</f>
        <v>-1868.96521329012</v>
      </c>
      <c r="N46" s="39" t="n">
        <f aca="false">N13+N24+N35</f>
        <v>-2061.74910956853</v>
      </c>
      <c r="O46" s="39" t="n">
        <f aca="false">O13+O24+O35</f>
        <v>-2262.44634169789</v>
      </c>
      <c r="P46" s="39" t="n">
        <f aca="false">P13+P24+P35</f>
        <v>-2471.47566680859</v>
      </c>
      <c r="Q46" s="39" t="n">
        <f aca="false">Q13+Q24+Q35</f>
        <v>-2689.27525818024</v>
      </c>
      <c r="R46" s="39" t="n">
        <f aca="false">R13+R24+R35</f>
        <v>-2916.30368300564</v>
      </c>
      <c r="S46" s="39" t="n">
        <f aca="false">S13+S24+S35</f>
        <v>-3153.04092733017</v>
      </c>
      <c r="T46" s="39" t="n">
        <f aca="false">T13+T24+T35</f>
        <v>-3399.98947051581</v>
      </c>
      <c r="U46" s="39" t="n">
        <f aca="false">U13+U24+U35</f>
        <v>-3657.67541169493</v>
      </c>
      <c r="V46" s="39" t="n">
        <f aca="false">V13+V24+V35</f>
        <v>-3926.64965079954</v>
      </c>
      <c r="W46" s="39" t="n">
        <f aca="false">W13+W24+W35</f>
        <v>-4207.48912687898</v>
      </c>
      <c r="X46" s="39" t="n">
        <f aca="false">X13+X24+X35</f>
        <v>-4500.79811655251</v>
      </c>
      <c r="Y46" s="39" t="n">
        <f aca="false">Y13+Y24+Y35</f>
        <v>-4807.20959558309</v>
      </c>
      <c r="Z46" s="39" t="n">
        <f aca="false">Z13+Z24+Z35</f>
        <v>-5127.38666670579</v>
      </c>
      <c r="AA46" s="39" t="n">
        <f aca="false">AA13+AA24+AA35</f>
        <v>-5462.0240569985</v>
      </c>
      <c r="AB46" s="39" t="n">
        <f aca="false">AB13+AB24+AB35</f>
        <v>-5811.84968824444</v>
      </c>
      <c r="AC46" s="39" t="n">
        <f aca="false">AC13+AC24+AC35</f>
        <v>-6177.62632390629</v>
      </c>
      <c r="AD46" s="39" t="n">
        <f aca="false">AD13+AD24+AD35</f>
        <v>-6560.15329650965</v>
      </c>
      <c r="AE46" s="39" t="n">
        <f aca="false">AE13+AE24+AE35</f>
        <v>-6960.26831942151</v>
      </c>
      <c r="AF46" s="39" t="n">
        <f aca="false">AF13+AF24+AF35</f>
        <v>-7378.84938720539</v>
      </c>
      <c r="AG46" s="39" t="n">
        <f aca="false">AG13+AG24+AG35</f>
        <v>-7816.81676894148</v>
      </c>
      <c r="AH46" s="39" t="n">
        <f aca="false">AH13+AH24+AH35</f>
        <v>-8275.13509911672</v>
      </c>
      <c r="AI46" s="39" t="n">
        <f aca="false">AI13+AI24+AI35</f>
        <v>-8754.81557091696</v>
      </c>
      <c r="AJ46" s="39" t="n">
        <f aca="false">AJ13+AJ24+AJ35</f>
        <v>-9256.91823699209</v>
      </c>
      <c r="AK46" s="39" t="n">
        <f aca="false">AK13+AK24+AK35</f>
        <v>-9782.55442301543</v>
      </c>
      <c r="AL46" s="39" t="n">
        <f aca="false">AL13+AL24+AL35</f>
        <v>-10332.8892596217</v>
      </c>
    </row>
    <row r="47" customFormat="false" ht="15" hidden="false" customHeight="false" outlineLevel="0" collapsed="false">
      <c r="A47" s="36" t="s">
        <v>26</v>
      </c>
      <c r="B47" s="40" t="n">
        <f aca="false">B14+B25+B36</f>
        <v>13867</v>
      </c>
      <c r="C47" s="40" t="n">
        <f aca="false">C14+C25+C36</f>
        <v>20618.285</v>
      </c>
      <c r="D47" s="40" t="n">
        <f aca="false">D14+D25+D36</f>
        <v>27623.161925</v>
      </c>
      <c r="E47" s="40" t="n">
        <f aca="false">E14+E25+E36</f>
        <v>34895.131729625</v>
      </c>
      <c r="F47" s="40" t="n">
        <f aca="false">F14+F25+F36</f>
        <v>42448.2892228231</v>
      </c>
      <c r="G47" s="40" t="n">
        <f aca="false">G14+G25+G36</f>
        <v>50297.3525970567</v>
      </c>
      <c r="H47" s="40" t="n">
        <f aca="false">H14+H25+H36</f>
        <v>58457.6943371399</v>
      </c>
      <c r="I47" s="40" t="n">
        <f aca="false">I14+I25+I36</f>
        <v>66945.3735765118</v>
      </c>
      <c r="J47" s="40" t="n">
        <f aca="false">J14+J25+J36</f>
        <v>75777.1699719981</v>
      </c>
      <c r="K47" s="40" t="n">
        <f aca="false">K14+K25+K36</f>
        <v>84970.6191715332</v>
      </c>
      <c r="L47" s="40" t="n">
        <f aca="false">L14+L25+L36</f>
        <v>94544.0499529067</v>
      </c>
      <c r="M47" s="40" t="n">
        <f aca="false">M14+M25+M36</f>
        <v>104516.623115366</v>
      </c>
      <c r="N47" s="40" t="n">
        <f aca="false">N14+N25+N36</f>
        <v>114908.372209857</v>
      </c>
      <c r="O47" s="40" t="n">
        <f aca="false">O14+O25+O36</f>
        <v>125740.246197825</v>
      </c>
      <c r="P47" s="40" t="n">
        <f aca="false">P14+P25+P36</f>
        <v>137034.154132865</v>
      </c>
      <c r="Q47" s="40" t="n">
        <f aca="false">Q14+Q25+Q36</f>
        <v>148813.01196405</v>
      </c>
      <c r="R47" s="40" t="n">
        <f aca="false">R14+R25+R36</f>
        <v>161100.791564572</v>
      </c>
      <c r="S47" s="40" t="n">
        <f aca="false">S14+S25+S36</f>
        <v>173922.572094342</v>
      </c>
      <c r="T47" s="40" t="n">
        <f aca="false">T14+T25+T36</f>
        <v>187304.59381047</v>
      </c>
      <c r="U47" s="40" t="n">
        <f aca="false">U14+U25+U36</f>
        <v>201274.314445068</v>
      </c>
      <c r="V47" s="40" t="n">
        <f aca="false">V14+V25+V36</f>
        <v>215860.468275622</v>
      </c>
      <c r="W47" s="40" t="n">
        <f aca="false">W14+W25+W36</f>
        <v>231093.128019262</v>
      </c>
      <c r="X47" s="40" t="n">
        <f aca="false">X14+X25+X36</f>
        <v>247003.769688641</v>
      </c>
      <c r="Y47" s="40" t="n">
        <f aca="false">Y14+Y25+Y36</f>
        <v>263625.340553821</v>
      </c>
      <c r="Z47" s="40" t="n">
        <f aca="false">Z14+Z25+Z36</f>
        <v>280992.330361601</v>
      </c>
      <c r="AA47" s="40" t="n">
        <f aca="false">AA14+AA25+AA36</f>
        <v>299140.845971096</v>
      </c>
      <c r="AB47" s="40" t="n">
        <f aca="false">AB14+AB25+AB36</f>
        <v>318108.689572065</v>
      </c>
      <c r="AC47" s="40" t="n">
        <f aca="false">AC14+AC25+AC36</f>
        <v>337935.440660665</v>
      </c>
      <c r="AD47" s="40" t="n">
        <f aca="false">AD14+AD25+AD36</f>
        <v>358662.541955744</v>
      </c>
      <c r="AE47" s="40" t="n">
        <f aca="false">AE14+AE25+AE36</f>
        <v>380333.389447776</v>
      </c>
      <c r="AF47" s="40" t="n">
        <f aca="false">AF14+AF25+AF36</f>
        <v>402993.42678185</v>
      </c>
      <c r="AG47" s="40" t="n">
        <f aca="false">AG14+AG25+AG36</f>
        <v>426690.244185991</v>
      </c>
      <c r="AH47" s="40" t="n">
        <f aca="false">AH14+AH25+AH36</f>
        <v>451473.68216638</v>
      </c>
      <c r="AI47" s="40" t="n">
        <f aca="false">AI14+AI25+AI36</f>
        <v>477395.940201849</v>
      </c>
      <c r="AJ47" s="40" t="n">
        <f aca="false">AJ14+AJ25+AJ36</f>
        <v>504511.69068138</v>
      </c>
      <c r="AK47" s="40" t="n">
        <f aca="false">AK14+AK25+AK36</f>
        <v>532878.198340241</v>
      </c>
      <c r="AL47" s="40" t="n">
        <f aca="false">AL14+AL25+AL36</f>
        <v>562555.445462864</v>
      </c>
    </row>
    <row r="48" customFormat="false" ht="15" hidden="false" customHeight="false" outlineLevel="0" collapsed="false">
      <c r="A48" s="10" t="s">
        <v>134</v>
      </c>
      <c r="C48" s="39" t="n">
        <f aca="false">C47-C43</f>
        <v>6751.285</v>
      </c>
      <c r="D48" s="39" t="n">
        <f aca="false">D47-D43</f>
        <v>7004.876925</v>
      </c>
      <c r="E48" s="39" t="n">
        <f aca="false">E47-E43</f>
        <v>7271.96980462501</v>
      </c>
      <c r="F48" s="39" t="n">
        <f aca="false">F47-F43</f>
        <v>7553.15749319812</v>
      </c>
      <c r="G48" s="39" t="n">
        <f aca="false">G47-G43</f>
        <v>7849.06337423362</v>
      </c>
      <c r="H48" s="39" t="n">
        <f aca="false">H47-H43</f>
        <v>8160.34174008314</v>
      </c>
      <c r="I48" s="39" t="n">
        <f aca="false">I47-I43</f>
        <v>8487.67923937192</v>
      </c>
      <c r="J48" s="39" t="n">
        <f aca="false">J47-J43</f>
        <v>8831.79639548634</v>
      </c>
      <c r="K48" s="39" t="n">
        <f aca="false">K47-K43</f>
        <v>9193.44919953501</v>
      </c>
      <c r="L48" s="39" t="n">
        <f aca="false">L47-L43</f>
        <v>9573.43078137357</v>
      </c>
      <c r="M48" s="39" t="n">
        <f aca="false">M47-M43</f>
        <v>9972.57316245971</v>
      </c>
      <c r="N48" s="39" t="n">
        <f aca="false">N47-N43</f>
        <v>10391.7490944906</v>
      </c>
      <c r="O48" s="39" t="n">
        <f aca="false">O47-O43</f>
        <v>10831.8739879678</v>
      </c>
      <c r="P48" s="39" t="n">
        <f aca="false">P47-P43</f>
        <v>11293.9079350398</v>
      </c>
      <c r="Q48" s="39" t="n">
        <f aca="false">Q47-Q43</f>
        <v>11778.857831185</v>
      </c>
      <c r="R48" s="39" t="n">
        <f aca="false">R47-R43</f>
        <v>12287.7796005221</v>
      </c>
      <c r="S48" s="39" t="n">
        <f aca="false">S47-S43</f>
        <v>12821.7805297703</v>
      </c>
      <c r="T48" s="39" t="n">
        <f aca="false">T47-T43</f>
        <v>13382.0217161282</v>
      </c>
      <c r="U48" s="39" t="n">
        <f aca="false">U47-U43</f>
        <v>13969.7206345978</v>
      </c>
      <c r="V48" s="39" t="n">
        <f aca="false">V47-V43</f>
        <v>14586.1538305538</v>
      </c>
      <c r="W48" s="39" t="n">
        <f aca="false">W47-W43</f>
        <v>15232.6597436405</v>
      </c>
      <c r="X48" s="39" t="n">
        <f aca="false">X47-X43</f>
        <v>15910.641669379</v>
      </c>
      <c r="Y48" s="39" t="n">
        <f aca="false">Y47-Y43</f>
        <v>16621.5708651791</v>
      </c>
      <c r="Z48" s="39" t="n">
        <f aca="false">Z47-Z43</f>
        <v>17366.9898077808</v>
      </c>
      <c r="AA48" s="39" t="n">
        <f aca="false">AA47-AA43</f>
        <v>18148.5156094947</v>
      </c>
      <c r="AB48" s="39" t="n">
        <f aca="false">AB47-AB43</f>
        <v>18967.8436009694</v>
      </c>
      <c r="AC48" s="39" t="n">
        <f aca="false">AC47-AC43</f>
        <v>19826.7510885994</v>
      </c>
      <c r="AD48" s="39" t="n">
        <f aca="false">AD47-AD43</f>
        <v>20727.1012950795</v>
      </c>
      <c r="AE48" s="39" t="n">
        <f aca="false">AE47-AE43</f>
        <v>21670.8474920322</v>
      </c>
      <c r="AF48" s="39" t="n">
        <f aca="false">AF47-AF43</f>
        <v>22660.0373340737</v>
      </c>
      <c r="AG48" s="39" t="n">
        <f aca="false">AG47-AG43</f>
        <v>23696.8174041411</v>
      </c>
      <c r="AH48" s="39" t="n">
        <f aca="false">AH47-AH43</f>
        <v>24783.4379803892</v>
      </c>
      <c r="AI48" s="39" t="n">
        <f aca="false">AI47-AI43</f>
        <v>25922.2580354686</v>
      </c>
      <c r="AJ48" s="39" t="n">
        <f aca="false">AJ47-AJ43</f>
        <v>27115.7504795308</v>
      </c>
      <c r="AK48" s="39" t="n">
        <f aca="false">AK47-AK43</f>
        <v>28366.5076588609</v>
      </c>
      <c r="AL48" s="39" t="n">
        <f aca="false">AL47-AL43</f>
        <v>29677.2471226231</v>
      </c>
    </row>
    <row r="49" customFormat="false" ht="15" hidden="false" customHeight="false" outlineLevel="0" collapsed="false">
      <c r="A49" s="16" t="s">
        <v>135</v>
      </c>
      <c r="B49" s="17" t="n">
        <f aca="false">B47*12</f>
        <v>166404</v>
      </c>
      <c r="C49" s="17" t="n">
        <f aca="false">C47*12</f>
        <v>247419.42</v>
      </c>
      <c r="D49" s="17" t="n">
        <f aca="false">D47*12</f>
        <v>331477.9431</v>
      </c>
      <c r="E49" s="17" t="n">
        <f aca="false">E47*12</f>
        <v>418741.5807555</v>
      </c>
      <c r="F49" s="17" t="n">
        <f aca="false">F47*12</f>
        <v>509379.470673877</v>
      </c>
      <c r="G49" s="17" t="n">
        <f aca="false">G47*12</f>
        <v>603568.231164681</v>
      </c>
      <c r="H49" s="17" t="n">
        <f aca="false">H47*12</f>
        <v>701492.332045679</v>
      </c>
      <c r="I49" s="17" t="n">
        <f aca="false">I47*12</f>
        <v>803344.482918142</v>
      </c>
      <c r="J49" s="17" t="n">
        <f aca="false">J47*12</f>
        <v>909326.039663978</v>
      </c>
      <c r="K49" s="17" t="n">
        <f aca="false">K47*12</f>
        <v>1019647.4300584</v>
      </c>
      <c r="L49" s="17" t="n">
        <f aca="false">L47*12</f>
        <v>1134528.59943488</v>
      </c>
      <c r="M49" s="17" t="n">
        <f aca="false">M47*12</f>
        <v>1254199.4773844</v>
      </c>
      <c r="N49" s="17" t="n">
        <f aca="false">N47*12</f>
        <v>1378900.46651828</v>
      </c>
      <c r="O49" s="17" t="n">
        <f aca="false">O47*12</f>
        <v>1508882.9543739</v>
      </c>
      <c r="P49" s="17" t="n">
        <f aca="false">P47*12</f>
        <v>1644409.84959438</v>
      </c>
      <c r="Q49" s="17" t="n">
        <f aca="false">Q47*12</f>
        <v>1785756.1435686</v>
      </c>
      <c r="R49" s="17" t="n">
        <f aca="false">R47*12</f>
        <v>1933209.49877486</v>
      </c>
      <c r="S49" s="17" t="n">
        <f aca="false">S47*12</f>
        <v>2087070.8651321</v>
      </c>
      <c r="T49" s="17" t="n">
        <f aca="false">T47*12</f>
        <v>2247655.12572564</v>
      </c>
      <c r="U49" s="17" t="n">
        <f aca="false">U47*12</f>
        <v>2415291.77334082</v>
      </c>
      <c r="V49" s="17" t="n">
        <f aca="false">V47*12</f>
        <v>2590325.61930746</v>
      </c>
      <c r="W49" s="17" t="n">
        <f aca="false">W47*12</f>
        <v>2773117.53623115</v>
      </c>
      <c r="X49" s="17" t="n">
        <f aca="false">X47*12</f>
        <v>2964045.2362637</v>
      </c>
      <c r="Y49" s="17" t="n">
        <f aca="false">Y47*12</f>
        <v>3163504.08664585</v>
      </c>
      <c r="Z49" s="17" t="n">
        <f aca="false">Z47*12</f>
        <v>3371907.96433922</v>
      </c>
      <c r="AA49" s="17" t="n">
        <f aca="false">AA47*12</f>
        <v>3589690.15165315</v>
      </c>
      <c r="AB49" s="17" t="n">
        <f aca="false">AB47*12</f>
        <v>3817304.27486478</v>
      </c>
      <c r="AC49" s="17" t="n">
        <f aca="false">AC47*12</f>
        <v>4055225.28792798</v>
      </c>
      <c r="AD49" s="17" t="n">
        <f aca="false">AD47*12</f>
        <v>4303950.50346893</v>
      </c>
      <c r="AE49" s="17" t="n">
        <f aca="false">AE47*12</f>
        <v>4564000.67337332</v>
      </c>
      <c r="AF49" s="17" t="n">
        <f aca="false">AF47*12</f>
        <v>4835921.1213822</v>
      </c>
      <c r="AG49" s="17" t="n">
        <f aca="false">AG47*12</f>
        <v>5120282.9302319</v>
      </c>
      <c r="AH49" s="17" t="n">
        <f aca="false">AH47*12</f>
        <v>5417684.18599657</v>
      </c>
      <c r="AI49" s="17" t="n">
        <f aca="false">AI47*12</f>
        <v>5728751.28242219</v>
      </c>
      <c r="AJ49" s="17" t="n">
        <f aca="false">AJ47*12</f>
        <v>6054140.28817656</v>
      </c>
      <c r="AK49" s="17" t="n">
        <f aca="false">AK47*12</f>
        <v>6394538.38008289</v>
      </c>
      <c r="AL49" s="17" t="n">
        <f aca="false">AL47*12</f>
        <v>6750665.34555437</v>
      </c>
    </row>
    <row r="50" customFormat="false" ht="15" hidden="false" customHeight="false" outlineLevel="0" collapsed="false">
      <c r="A50" s="10" t="s">
        <v>136</v>
      </c>
      <c r="C50" s="39" t="n">
        <f aca="false">IF(C42&gt;0,C47/C42,0)</f>
        <v>110.630922358749</v>
      </c>
      <c r="D50" s="39" t="n">
        <f aca="false">IF(D42&gt;0,D47/D42,0)</f>
        <v>114.546541438751</v>
      </c>
      <c r="E50" s="39" t="n">
        <f aca="false">IF(E42&gt;0,E47/E42,0)</f>
        <v>117.313860241636</v>
      </c>
      <c r="F50" s="39" t="n">
        <f aca="false">IF(F42&gt;0,F47/F42,0)</f>
        <v>119.446590571805</v>
      </c>
      <c r="G50" s="39" t="n">
        <f aca="false">IF(G42&gt;0,G47/G42,0)</f>
        <v>121.187964746531</v>
      </c>
      <c r="H50" s="39" t="n">
        <f aca="false">IF(H42&gt;0,H47/H42,0)</f>
        <v>122.667959243253</v>
      </c>
      <c r="I50" s="39" t="n">
        <f aca="false">IF(I42&gt;0,I47/I42,0)</f>
        <v>123.96228268796</v>
      </c>
      <c r="J50" s="39" t="n">
        <f aca="false">IF(J42&gt;0,J47/J42,0)</f>
        <v>125.117983486714</v>
      </c>
      <c r="K50" s="39" t="n">
        <f aca="false">IF(K42&gt;0,K47/K42,0)</f>
        <v>126.165815447109</v>
      </c>
      <c r="L50" s="39" t="n">
        <f aca="false">IF(L42&gt;0,L47/L42,0)</f>
        <v>127.126716338264</v>
      </c>
      <c r="M50" s="39" t="n">
        <f aca="false">IF(M42&gt;0,M47/M42,0)</f>
        <v>128.015428793687</v>
      </c>
      <c r="N50" s="39" t="n">
        <f aca="false">IF(N42&gt;0,N47/N42,0)</f>
        <v>128.842633335664</v>
      </c>
      <c r="O50" s="39" t="n">
        <f aca="false">IF(O42&gt;0,O47/O42,0)</f>
        <v>129.61626097852</v>
      </c>
      <c r="P50" s="39" t="n">
        <f aca="false">IF(P42&gt;0,P47/P42,0)</f>
        <v>130.342331259395</v>
      </c>
      <c r="Q50" s="39" t="n">
        <f aca="false">IF(Q42&gt;0,Q47/Q42,0)</f>
        <v>131.025504369574</v>
      </c>
      <c r="R50" s="39" t="n">
        <f aca="false">IF(R42&gt;0,R47/R42,0)</f>
        <v>131.66945492536</v>
      </c>
      <c r="S50" s="39" t="n">
        <f aca="false">IF(S42&gt;0,S47/S42,0)</f>
        <v>132.277131033745</v>
      </c>
      <c r="T50" s="39" t="n">
        <f aca="false">IF(T42&gt;0,T47/T42,0)</f>
        <v>132.850937594495</v>
      </c>
      <c r="U50" s="39" t="n">
        <f aca="false">IF(U42&gt;0,U47/U42,0)</f>
        <v>133.392868362742</v>
      </c>
      <c r="V50" s="39" t="n">
        <f aca="false">IF(V42&gt;0,V47/V42,0)</f>
        <v>133.904602619544</v>
      </c>
      <c r="W50" s="39" t="n">
        <f aca="false">IF(W42&gt;0,W47/W42,0)</f>
        <v>134.387576929727</v>
      </c>
      <c r="X50" s="39" t="n">
        <f aca="false">IF(X42&gt;0,X47/X42,0)</f>
        <v>134.843039061943</v>
      </c>
      <c r="Y50" s="39" t="n">
        <f aca="false">IF(Y42&gt;0,Y47/Y42,0)</f>
        <v>135.272088938127</v>
      </c>
      <c r="Z50" s="39" t="n">
        <f aca="false">IF(Z42&gt;0,Z47/Z42,0)</f>
        <v>135.675710018699</v>
      </c>
      <c r="AA50" s="39" t="n">
        <f aca="false">IF(AA42&gt;0,AA47/AA42,0)</f>
        <v>136.054793545144</v>
      </c>
      <c r="AB50" s="39" t="n">
        <f aca="false">IF(AB42&gt;0,AB47/AB42,0)</f>
        <v>136.410157386699</v>
      </c>
      <c r="AC50" s="39" t="n">
        <f aca="false">IF(AC42&gt;0,AC47/AC42,0)</f>
        <v>136.742560768004</v>
      </c>
      <c r="AD50" s="39" t="n">
        <f aca="false">IF(AD42&gt;0,AD47/AD42,0)</f>
        <v>137.052715822731</v>
      </c>
      <c r="AE50" s="39" t="n">
        <f aca="false">IF(AE42&gt;0,AE47/AE42,0)</f>
        <v>137.341296680747</v>
      </c>
      <c r="AF50" s="39" t="n">
        <f aca="false">IF(AF42&gt;0,AF47/AF42,0)</f>
        <v>137.608946624317</v>
      </c>
      <c r="AG50" s="39" t="n">
        <f aca="false">IF(AG42&gt;0,AG47/AG42,0)</f>
        <v>137.856283722678</v>
      </c>
      <c r="AH50" s="39" t="n">
        <f aca="false">IF(AH42&gt;0,AH47/AH42,0)</f>
        <v>138.083905260883</v>
      </c>
      <c r="AI50" s="39" t="n">
        <f aca="false">IF(AI42&gt;0,AI47/AI42,0)</f>
        <v>138.292391208802</v>
      </c>
      <c r="AJ50" s="39" t="n">
        <f aca="false">IF(AJ42&gt;0,AJ47/AJ42,0)</f>
        <v>138.482306923225</v>
      </c>
      <c r="AK50" s="39" t="n">
        <f aca="false">IF(AK42&gt;0,AK47/AK42,0)</f>
        <v>138.654205235661</v>
      </c>
      <c r="AL50" s="39" t="n">
        <f aca="false">IF(AL42&gt;0,AL47/AL42,0)</f>
        <v>138.808628047278</v>
      </c>
    </row>
    <row r="51" customFormat="false" ht="15" hidden="false" customHeight="false" outlineLevel="0" collapsed="false">
      <c r="A51" s="10" t="s">
        <v>137</v>
      </c>
      <c r="C51" s="41" t="n">
        <f aca="false">IF(C43&gt;0,C47/C43-1,0)</f>
        <v>0.486859811062234</v>
      </c>
      <c r="D51" s="41" t="n">
        <f aca="false">IF(D43&gt;0,D47/D43-1,0)</f>
        <v>0.33974100779963</v>
      </c>
      <c r="E51" s="41" t="n">
        <f aca="false">IF(E43&gt;0,E47/E43-1,0)</f>
        <v>0.263256242148137</v>
      </c>
      <c r="F51" s="41" t="n">
        <f aca="false">IF(F43&gt;0,F47/F43-1,0)</f>
        <v>0.216453044273385</v>
      </c>
      <c r="G51" s="41" t="n">
        <f aca="false">IF(G43&gt;0,G47/G43-1,0)</f>
        <v>0.184908827138631</v>
      </c>
      <c r="H51" s="41" t="n">
        <f aca="false">IF(H43&gt;0,H47/H43-1,0)</f>
        <v>0.162241973359064</v>
      </c>
      <c r="I51" s="41" t="n">
        <f aca="false">IF(I43&gt;0,I47/I43-1,0)</f>
        <v>0.145193534155168</v>
      </c>
      <c r="J51" s="41" t="n">
        <f aca="false">IF(J43&gt;0,J47/J43-1,0)</f>
        <v>0.131925418048381</v>
      </c>
      <c r="K51" s="41" t="n">
        <f aca="false">IF(K43&gt;0,K47/K43-1,0)</f>
        <v>0.121322150232481</v>
      </c>
      <c r="L51" s="41" t="n">
        <f aca="false">IF(L43&gt;0,L47/L43-1,0)</f>
        <v>0.112667541730481</v>
      </c>
      <c r="M51" s="41" t="n">
        <f aca="false">IF(M43&gt;0,M47/M43-1,0)</f>
        <v>0.105480706267895</v>
      </c>
      <c r="N51" s="41" t="n">
        <f aca="false">IF(N43&gt;0,N47/N43-1,0)</f>
        <v>0.0994267589665625</v>
      </c>
      <c r="O51" s="41" t="n">
        <f aca="false">IF(O43&gt;0,O47/O43-1,0)</f>
        <v>0.0942653157437963</v>
      </c>
      <c r="P51" s="41" t="n">
        <f aca="false">IF(P43&gt;0,P47/P43-1,0)</f>
        <v>0.089819355986239</v>
      </c>
      <c r="Q51" s="41" t="n">
        <f aca="false">IF(Q43&gt;0,Q47/Q43-1,0)</f>
        <v>0.0859556357006046</v>
      </c>
      <c r="R51" s="41" t="n">
        <f aca="false">IF(R43&gt;0,R47/R43-1,0)</f>
        <v>0.0825719433962573</v>
      </c>
      <c r="S51" s="41" t="n">
        <f aca="false">IF(S43&gt;0,S47/S43-1,0)</f>
        <v>0.0795885631923239</v>
      </c>
      <c r="T51" s="41" t="n">
        <f aca="false">IF(T43&gt;0,T47/T43-1,0)</f>
        <v>0.0769424092283395</v>
      </c>
      <c r="U51" s="41" t="n">
        <f aca="false">IF(U43&gt;0,U47/U43-1,0)</f>
        <v>0.0745829045107855</v>
      </c>
      <c r="V51" s="41" t="n">
        <f aca="false">IF(V43&gt;0,V47/V43-1,0)</f>
        <v>0.0724690275098894</v>
      </c>
      <c r="W51" s="41" t="n">
        <f aca="false">IF(W43&gt;0,W47/W43-1,0)</f>
        <v>0.0705671578743665</v>
      </c>
      <c r="X51" s="41" t="n">
        <f aca="false">IF(X43&gt;0,X47/X43-1,0)</f>
        <v>0.0688494798861039</v>
      </c>
      <c r="Y51" s="41" t="n">
        <f aca="false">IF(Y43&gt;0,Y47/Y43-1,0)</f>
        <v>0.0672927821552329</v>
      </c>
      <c r="Z51" s="41" t="n">
        <f aca="false">IF(Z43&gt;0,Z47/Z43-1,0)</f>
        <v>0.0658775433776453</v>
      </c>
      <c r="AA51" s="41" t="n">
        <f aca="false">IF(AA43&gt;0,AA47/AA43-1,0)</f>
        <v>0.0645872276518718</v>
      </c>
      <c r="AB51" s="41" t="n">
        <f aca="false">IF(AB43&gt;0,AB47/AB43-1,0)</f>
        <v>0.0634077353742661</v>
      </c>
      <c r="AC51" s="41" t="n">
        <f aca="false">IF(AC43&gt;0,AC47/AC43-1,0)</f>
        <v>0.0623269710590781</v>
      </c>
      <c r="AD51" s="41" t="n">
        <f aca="false">IF(AD43&gt;0,AD47/AD43-1,0)</f>
        <v>0.0613345000292302</v>
      </c>
      <c r="AE51" s="41" t="n">
        <f aca="false">IF(AE43&gt;0,AE47/AE43-1,0)</f>
        <v>0.0604212733614826</v>
      </c>
      <c r="AF51" s="41" t="n">
        <f aca="false">IF(AF43&gt;0,AF47/AF43-1,0)</f>
        <v>0.0595794057602328</v>
      </c>
      <c r="AG51" s="41" t="n">
        <f aca="false">IF(AG43&gt;0,AG47/AG43-1,0)</f>
        <v>0.0588019948448657</v>
      </c>
      <c r="AH51" s="41" t="n">
        <f aca="false">IF(AH43&gt;0,AH47/AH43-1,0)</f>
        <v>0.0580829731124255</v>
      </c>
      <c r="AI51" s="41" t="n">
        <f aca="false">IF(AI43&gt;0,AI47/AI43-1,0)</f>
        <v>0.0574169858829459</v>
      </c>
      <c r="AJ51" s="41" t="n">
        <f aca="false">IF(AJ43&gt;0,AJ47/AJ43-1,0)</f>
        <v>0.056799290056941</v>
      </c>
      <c r="AK51" s="41" t="n">
        <f aca="false">IF(AK43&gt;0,AK47/AK43-1,0)</f>
        <v>0.056225669658021</v>
      </c>
      <c r="AL51" s="41" t="n">
        <f aca="false">IF(AL43&gt;0,AL47/AL43-1,0)</f>
        <v>0.0556923650002177</v>
      </c>
    </row>
    <row r="53" customFormat="false" ht="15" hidden="false" customHeight="false" outlineLevel="0" collapsed="false">
      <c r="A53" s="36" t="s">
        <v>138</v>
      </c>
      <c r="C53" s="40" t="n">
        <f aca="false">(C43+C47)/2</f>
        <v>17242.6425</v>
      </c>
      <c r="D53" s="40" t="n">
        <f aca="false">(D43+D47)/2</f>
        <v>24120.7234625</v>
      </c>
      <c r="E53" s="40" t="n">
        <f aca="false">(E43+E47)/2</f>
        <v>31259.1468273125</v>
      </c>
      <c r="F53" s="40" t="n">
        <f aca="false">(F43+F47)/2</f>
        <v>38671.7104762241</v>
      </c>
      <c r="G53" s="40" t="n">
        <f aca="false">(G43+G47)/2</f>
        <v>46372.8209099399</v>
      </c>
      <c r="H53" s="40" t="n">
        <f aca="false">(H43+H47)/2</f>
        <v>54377.5234670983</v>
      </c>
      <c r="I53" s="40" t="n">
        <f aca="false">(I43+I47)/2</f>
        <v>62701.5339568258</v>
      </c>
      <c r="J53" s="40" t="n">
        <f aca="false">(J43+J47)/2</f>
        <v>71361.271774255</v>
      </c>
      <c r="K53" s="40" t="n">
        <f aca="false">(K43+K47)/2</f>
        <v>80373.8945717657</v>
      </c>
      <c r="L53" s="40" t="n">
        <f aca="false">(L43+L47)/2</f>
        <v>89757.3345622199</v>
      </c>
      <c r="M53" s="40" t="n">
        <f aca="false">(M43+M47)/2</f>
        <v>99530.3365341366</v>
      </c>
      <c r="N53" s="40" t="n">
        <f aca="false">(N43+N47)/2</f>
        <v>109712.497662612</v>
      </c>
      <c r="O53" s="40" t="n">
        <f aca="false">(O43+O47)/2</f>
        <v>120324.309203841</v>
      </c>
      <c r="P53" s="40" t="n">
        <f aca="false">(P43+P47)/2</f>
        <v>131387.200165345</v>
      </c>
      <c r="Q53" s="40" t="n">
        <f aca="false">(Q43+Q47)/2</f>
        <v>142923.583048457</v>
      </c>
      <c r="R53" s="40" t="n">
        <f aca="false">(R43+R47)/2</f>
        <v>154956.901764311</v>
      </c>
      <c r="S53" s="40" t="n">
        <f aca="false">(S43+S47)/2</f>
        <v>167511.681829457</v>
      </c>
      <c r="T53" s="40" t="n">
        <f aca="false">(T43+T47)/2</f>
        <v>180613.582952406</v>
      </c>
      <c r="U53" s="40" t="n">
        <f aca="false">(U43+U47)/2</f>
        <v>194289.454127769</v>
      </c>
      <c r="V53" s="40" t="n">
        <f aca="false">(V43+V47)/2</f>
        <v>208567.391360345</v>
      </c>
      <c r="W53" s="40" t="n">
        <f aca="false">(W43+W47)/2</f>
        <v>223476.798147442</v>
      </c>
      <c r="X53" s="40" t="n">
        <f aca="false">(X43+X47)/2</f>
        <v>239048.448853952</v>
      </c>
      <c r="Y53" s="40" t="n">
        <f aca="false">(Y43+Y47)/2</f>
        <v>255314.555121231</v>
      </c>
      <c r="Z53" s="40" t="n">
        <f aca="false">(Z43+Z47)/2</f>
        <v>272308.835457711</v>
      </c>
      <c r="AA53" s="40" t="n">
        <f aca="false">(AA43+AA47)/2</f>
        <v>290066.588166349</v>
      </c>
      <c r="AB53" s="40" t="n">
        <f aca="false">(AB43+AB47)/2</f>
        <v>308624.767771581</v>
      </c>
      <c r="AC53" s="40" t="n">
        <f aca="false">(AC43+AC47)/2</f>
        <v>328022.065116365</v>
      </c>
      <c r="AD53" s="40" t="n">
        <f aca="false">(AD43+AD47)/2</f>
        <v>348298.991308205</v>
      </c>
      <c r="AE53" s="40" t="n">
        <f aca="false">(AE43+AE47)/2</f>
        <v>369497.96570176</v>
      </c>
      <c r="AF53" s="40" t="n">
        <f aca="false">(AF43+AF47)/2</f>
        <v>391663.408114813</v>
      </c>
      <c r="AG53" s="40" t="n">
        <f aca="false">(AG43+AG47)/2</f>
        <v>414841.835483921</v>
      </c>
      <c r="AH53" s="40" t="n">
        <f aca="false">(AH43+AH47)/2</f>
        <v>439081.963176186</v>
      </c>
      <c r="AI53" s="40" t="n">
        <f aca="false">(AI43+AI47)/2</f>
        <v>464434.811184115</v>
      </c>
      <c r="AJ53" s="40" t="n">
        <f aca="false">(AJ43+AJ47)/2</f>
        <v>490953.815441615</v>
      </c>
      <c r="AK53" s="40" t="n">
        <f aca="false">(AK43+AK47)/2</f>
        <v>518694.94451081</v>
      </c>
      <c r="AL53" s="40" t="n">
        <f aca="false">(AL43+AL47)/2</f>
        <v>547716.821901552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8" min="3" style="0" width="11"/>
  </cols>
  <sheetData>
    <row r="1" customFormat="false" ht="17.35" hidden="false" customHeight="false" outlineLevel="0" collapsed="false">
      <c r="A1" s="4" t="s">
        <v>139</v>
      </c>
    </row>
    <row r="2" customFormat="false" ht="15" hidden="false" customHeight="false" outlineLevel="0" collapsed="false">
      <c r="A2" s="5" t="s">
        <v>121</v>
      </c>
      <c r="B2" s="6" t="n">
        <v>0</v>
      </c>
      <c r="C2" s="6" t="n">
        <f aca="false">B2+1</f>
        <v>1</v>
      </c>
      <c r="D2" s="6" t="n">
        <f aca="false">C2+1</f>
        <v>2</v>
      </c>
      <c r="E2" s="6" t="n">
        <f aca="false">D2+1</f>
        <v>3</v>
      </c>
      <c r="F2" s="6" t="n">
        <f aca="false">E2+1</f>
        <v>4</v>
      </c>
      <c r="G2" s="6" t="n">
        <f aca="false">F2+1</f>
        <v>5</v>
      </c>
      <c r="H2" s="6" t="n">
        <f aca="false">G2+1</f>
        <v>6</v>
      </c>
      <c r="I2" s="6" t="n">
        <f aca="false">H2+1</f>
        <v>7</v>
      </c>
      <c r="J2" s="6" t="n">
        <f aca="false">I2+1</f>
        <v>8</v>
      </c>
      <c r="K2" s="6" t="n">
        <f aca="false">J2+1</f>
        <v>9</v>
      </c>
      <c r="L2" s="6" t="n">
        <f aca="false">K2+1</f>
        <v>10</v>
      </c>
      <c r="M2" s="6" t="n">
        <f aca="false">L2+1</f>
        <v>11</v>
      </c>
      <c r="N2" s="6" t="n">
        <f aca="false">M2+1</f>
        <v>12</v>
      </c>
      <c r="O2" s="6" t="n">
        <f aca="false">N2+1</f>
        <v>13</v>
      </c>
      <c r="P2" s="6" t="n">
        <f aca="false">O2+1</f>
        <v>14</v>
      </c>
      <c r="Q2" s="6" t="n">
        <f aca="false">P2+1</f>
        <v>15</v>
      </c>
      <c r="R2" s="6" t="n">
        <f aca="false">Q2+1</f>
        <v>16</v>
      </c>
      <c r="S2" s="6" t="n">
        <f aca="false">R2+1</f>
        <v>17</v>
      </c>
      <c r="T2" s="6" t="n">
        <f aca="false">S2+1</f>
        <v>18</v>
      </c>
      <c r="U2" s="6" t="n">
        <f aca="false">T2+1</f>
        <v>19</v>
      </c>
      <c r="V2" s="6" t="n">
        <f aca="false">U2+1</f>
        <v>20</v>
      </c>
      <c r="W2" s="6" t="n">
        <f aca="false">V2+1</f>
        <v>21</v>
      </c>
      <c r="X2" s="6" t="n">
        <f aca="false">W2+1</f>
        <v>22</v>
      </c>
      <c r="Y2" s="6" t="n">
        <f aca="false">X2+1</f>
        <v>23</v>
      </c>
      <c r="Z2" s="6" t="n">
        <f aca="false">Y2+1</f>
        <v>24</v>
      </c>
      <c r="AA2" s="6" t="n">
        <f aca="false">Z2+1</f>
        <v>25</v>
      </c>
      <c r="AB2" s="6" t="n">
        <f aca="false">AA2+1</f>
        <v>26</v>
      </c>
      <c r="AC2" s="6" t="n">
        <f aca="false">AB2+1</f>
        <v>27</v>
      </c>
      <c r="AD2" s="6" t="n">
        <f aca="false">AC2+1</f>
        <v>28</v>
      </c>
      <c r="AE2" s="6" t="n">
        <f aca="false">AD2+1</f>
        <v>29</v>
      </c>
      <c r="AF2" s="6" t="n">
        <f aca="false">AE2+1</f>
        <v>30</v>
      </c>
      <c r="AG2" s="6" t="n">
        <f aca="false">AF2+1</f>
        <v>31</v>
      </c>
      <c r="AH2" s="6" t="n">
        <f aca="false">AG2+1</f>
        <v>32</v>
      </c>
      <c r="AI2" s="6" t="n">
        <f aca="false">AH2+1</f>
        <v>33</v>
      </c>
      <c r="AJ2" s="6" t="n">
        <f aca="false">AI2+1</f>
        <v>34</v>
      </c>
      <c r="AK2" s="6" t="n">
        <f aca="false">AJ2+1</f>
        <v>35</v>
      </c>
      <c r="AL2" s="6" t="n">
        <f aca="false">AK2+1</f>
        <v>36</v>
      </c>
    </row>
    <row r="3" customFormat="false" ht="15" hidden="false" customHeight="false" outlineLevel="0" collapsed="false">
      <c r="A3" s="5" t="s">
        <v>122</v>
      </c>
      <c r="B3" s="33"/>
      <c r="C3" s="34" t="n">
        <f aca="false">ROUNDUP(C2/12,0)</f>
        <v>1</v>
      </c>
      <c r="D3" s="34" t="n">
        <f aca="false">ROUNDUP(D2/12,0)</f>
        <v>1</v>
      </c>
      <c r="E3" s="34" t="n">
        <f aca="false">ROUNDUP(E2/12,0)</f>
        <v>1</v>
      </c>
      <c r="F3" s="34" t="n">
        <f aca="false">ROUNDUP(F2/12,0)</f>
        <v>1</v>
      </c>
      <c r="G3" s="34" t="n">
        <f aca="false">ROUNDUP(G2/12,0)</f>
        <v>1</v>
      </c>
      <c r="H3" s="34" t="n">
        <f aca="false">ROUNDUP(H2/12,0)</f>
        <v>1</v>
      </c>
      <c r="I3" s="34" t="n">
        <f aca="false">ROUNDUP(I2/12,0)</f>
        <v>1</v>
      </c>
      <c r="J3" s="34" t="n">
        <f aca="false">ROUNDUP(J2/12,0)</f>
        <v>1</v>
      </c>
      <c r="K3" s="34" t="n">
        <f aca="false">ROUNDUP(K2/12,0)</f>
        <v>1</v>
      </c>
      <c r="L3" s="34" t="n">
        <f aca="false">ROUNDUP(L2/12,0)</f>
        <v>1</v>
      </c>
      <c r="M3" s="34" t="n">
        <f aca="false">ROUNDUP(M2/12,0)</f>
        <v>1</v>
      </c>
      <c r="N3" s="34" t="n">
        <f aca="false">ROUNDUP(N2/12,0)</f>
        <v>1</v>
      </c>
      <c r="O3" s="34" t="n">
        <f aca="false">ROUNDUP(O2/12,0)</f>
        <v>2</v>
      </c>
      <c r="P3" s="34" t="n">
        <f aca="false">ROUNDUP(P2/12,0)</f>
        <v>2</v>
      </c>
      <c r="Q3" s="34" t="n">
        <f aca="false">ROUNDUP(Q2/12,0)</f>
        <v>2</v>
      </c>
      <c r="R3" s="34" t="n">
        <f aca="false">ROUNDUP(R2/12,0)</f>
        <v>2</v>
      </c>
      <c r="S3" s="34" t="n">
        <f aca="false">ROUNDUP(S2/12,0)</f>
        <v>2</v>
      </c>
      <c r="T3" s="34" t="n">
        <f aca="false">ROUNDUP(T2/12,0)</f>
        <v>2</v>
      </c>
      <c r="U3" s="34" t="n">
        <f aca="false">ROUNDUP(U2/12,0)</f>
        <v>2</v>
      </c>
      <c r="V3" s="34" t="n">
        <f aca="false">ROUNDUP(V2/12,0)</f>
        <v>2</v>
      </c>
      <c r="W3" s="34" t="n">
        <f aca="false">ROUNDUP(W2/12,0)</f>
        <v>2</v>
      </c>
      <c r="X3" s="34" t="n">
        <f aca="false">ROUNDUP(X2/12,0)</f>
        <v>2</v>
      </c>
      <c r="Y3" s="34" t="n">
        <f aca="false">ROUNDUP(Y2/12,0)</f>
        <v>2</v>
      </c>
      <c r="Z3" s="34" t="n">
        <f aca="false">ROUNDUP(Z2/12,0)</f>
        <v>2</v>
      </c>
      <c r="AA3" s="34" t="n">
        <f aca="false">ROUNDUP(AA2/12,0)</f>
        <v>3</v>
      </c>
      <c r="AB3" s="34" t="n">
        <f aca="false">ROUNDUP(AB2/12,0)</f>
        <v>3</v>
      </c>
      <c r="AC3" s="34" t="n">
        <f aca="false">ROUNDUP(AC2/12,0)</f>
        <v>3</v>
      </c>
      <c r="AD3" s="34" t="n">
        <f aca="false">ROUNDUP(AD2/12,0)</f>
        <v>3</v>
      </c>
      <c r="AE3" s="34" t="n">
        <f aca="false">ROUNDUP(AE2/12,0)</f>
        <v>3</v>
      </c>
      <c r="AF3" s="34" t="n">
        <f aca="false">ROUNDUP(AF2/12,0)</f>
        <v>3</v>
      </c>
      <c r="AG3" s="34" t="n">
        <f aca="false">ROUNDUP(AG2/12,0)</f>
        <v>3</v>
      </c>
      <c r="AH3" s="34" t="n">
        <f aca="false">ROUNDUP(AH2/12,0)</f>
        <v>3</v>
      </c>
      <c r="AI3" s="34" t="n">
        <f aca="false">ROUNDUP(AI2/12,0)</f>
        <v>3</v>
      </c>
      <c r="AJ3" s="34" t="n">
        <f aca="false">ROUNDUP(AJ2/12,0)</f>
        <v>3</v>
      </c>
      <c r="AK3" s="34" t="n">
        <f aca="false">ROUNDUP(AK2/12,0)</f>
        <v>3</v>
      </c>
      <c r="AL3" s="34" t="n">
        <f aca="false">ROUNDUP(AL2/12,0)</f>
        <v>3</v>
      </c>
    </row>
    <row r="5" customFormat="false" ht="15" hidden="false" customHeight="false" outlineLevel="0" collapsed="false">
      <c r="A5" s="16" t="s">
        <v>32</v>
      </c>
      <c r="C5" s="42" t="n">
        <f aca="false">'Revenue Build'!C53</f>
        <v>17242.6425</v>
      </c>
      <c r="D5" s="42" t="n">
        <f aca="false">'Revenue Build'!D53</f>
        <v>24120.7234625</v>
      </c>
      <c r="E5" s="42" t="n">
        <f aca="false">'Revenue Build'!E53</f>
        <v>31259.1468273125</v>
      </c>
      <c r="F5" s="42" t="n">
        <f aca="false">'Revenue Build'!F53</f>
        <v>38671.7104762241</v>
      </c>
      <c r="G5" s="42" t="n">
        <f aca="false">'Revenue Build'!G53</f>
        <v>46372.8209099399</v>
      </c>
      <c r="H5" s="42" t="n">
        <f aca="false">'Revenue Build'!H53</f>
        <v>54377.5234670983</v>
      </c>
      <c r="I5" s="42" t="n">
        <f aca="false">'Revenue Build'!I53</f>
        <v>62701.5339568258</v>
      </c>
      <c r="J5" s="42" t="n">
        <f aca="false">'Revenue Build'!J53</f>
        <v>71361.271774255</v>
      </c>
      <c r="K5" s="42" t="n">
        <f aca="false">'Revenue Build'!K53</f>
        <v>80373.8945717657</v>
      </c>
      <c r="L5" s="42" t="n">
        <f aca="false">'Revenue Build'!L53</f>
        <v>89757.3345622199</v>
      </c>
      <c r="M5" s="42" t="n">
        <f aca="false">'Revenue Build'!M53</f>
        <v>99530.3365341366</v>
      </c>
      <c r="N5" s="42" t="n">
        <f aca="false">'Revenue Build'!N53</f>
        <v>109712.497662612</v>
      </c>
      <c r="O5" s="42" t="n">
        <f aca="false">'Revenue Build'!O53</f>
        <v>120324.309203841</v>
      </c>
      <c r="P5" s="42" t="n">
        <f aca="false">'Revenue Build'!P53</f>
        <v>131387.200165345</v>
      </c>
      <c r="Q5" s="42" t="n">
        <f aca="false">'Revenue Build'!Q53</f>
        <v>142923.583048457</v>
      </c>
      <c r="R5" s="42" t="n">
        <f aca="false">'Revenue Build'!R53</f>
        <v>154956.901764311</v>
      </c>
      <c r="S5" s="42" t="n">
        <f aca="false">'Revenue Build'!S53</f>
        <v>167511.681829457</v>
      </c>
      <c r="T5" s="42" t="n">
        <f aca="false">'Revenue Build'!T53</f>
        <v>180613.582952406</v>
      </c>
      <c r="U5" s="42" t="n">
        <f aca="false">'Revenue Build'!U53</f>
        <v>194289.454127769</v>
      </c>
      <c r="V5" s="42" t="n">
        <f aca="false">'Revenue Build'!V53</f>
        <v>208567.391360345</v>
      </c>
      <c r="W5" s="42" t="n">
        <f aca="false">'Revenue Build'!W53</f>
        <v>223476.798147442</v>
      </c>
      <c r="X5" s="42" t="n">
        <f aca="false">'Revenue Build'!X53</f>
        <v>239048.448853952</v>
      </c>
      <c r="Y5" s="42" t="n">
        <f aca="false">'Revenue Build'!Y53</f>
        <v>255314.555121231</v>
      </c>
      <c r="Z5" s="42" t="n">
        <f aca="false">'Revenue Build'!Z53</f>
        <v>272308.835457711</v>
      </c>
      <c r="AA5" s="42" t="n">
        <f aca="false">'Revenue Build'!AA53</f>
        <v>290066.588166349</v>
      </c>
      <c r="AB5" s="42" t="n">
        <f aca="false">'Revenue Build'!AB53</f>
        <v>308624.767771581</v>
      </c>
      <c r="AC5" s="42" t="n">
        <f aca="false">'Revenue Build'!AC53</f>
        <v>328022.065116365</v>
      </c>
      <c r="AD5" s="42" t="n">
        <f aca="false">'Revenue Build'!AD53</f>
        <v>348298.991308205</v>
      </c>
      <c r="AE5" s="42" t="n">
        <f aca="false">'Revenue Build'!AE53</f>
        <v>369497.96570176</v>
      </c>
      <c r="AF5" s="42" t="n">
        <f aca="false">'Revenue Build'!AF53</f>
        <v>391663.408114813</v>
      </c>
      <c r="AG5" s="42" t="n">
        <f aca="false">'Revenue Build'!AG53</f>
        <v>414841.835483921</v>
      </c>
      <c r="AH5" s="42" t="n">
        <f aca="false">'Revenue Build'!AH53</f>
        <v>439081.963176186</v>
      </c>
      <c r="AI5" s="42" t="n">
        <f aca="false">'Revenue Build'!AI53</f>
        <v>464434.811184115</v>
      </c>
      <c r="AJ5" s="42" t="n">
        <f aca="false">'Revenue Build'!AJ53</f>
        <v>490953.815441615</v>
      </c>
      <c r="AK5" s="42" t="n">
        <f aca="false">'Revenue Build'!AK53</f>
        <v>518694.94451081</v>
      </c>
      <c r="AL5" s="42" t="n">
        <f aca="false">'Revenue Build'!AL53</f>
        <v>547716.821901552</v>
      </c>
    </row>
    <row r="6" customFormat="false" ht="15" hidden="false" customHeight="false" outlineLevel="0" collapsed="false">
      <c r="A6" s="8" t="s">
        <v>140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customFormat="false" ht="15" hidden="false" customHeight="false" outlineLevel="0" collapsed="false">
      <c r="A7" s="10" t="s">
        <v>141</v>
      </c>
      <c r="C7" s="14" t="n">
        <f aca="false">-C5*Assumptions!$B$14</f>
        <v>-2069.1171</v>
      </c>
      <c r="D7" s="14" t="n">
        <f aca="false">-D5*Assumptions!$B$14</f>
        <v>-2894.4868155</v>
      </c>
      <c r="E7" s="14" t="n">
        <f aca="false">-E5*Assumptions!$B$14</f>
        <v>-3751.0976192775</v>
      </c>
      <c r="F7" s="14" t="n">
        <f aca="false">-F5*Assumptions!$B$14</f>
        <v>-4640.60525714689</v>
      </c>
      <c r="G7" s="14" t="n">
        <f aca="false">-G5*Assumptions!$B$14</f>
        <v>-5564.73850919279</v>
      </c>
      <c r="H7" s="14" t="n">
        <f aca="false">-H5*Assumptions!$B$14</f>
        <v>-6525.3028160518</v>
      </c>
      <c r="I7" s="14" t="n">
        <f aca="false">-I5*Assumptions!$B$14</f>
        <v>-7524.1840748191</v>
      </c>
      <c r="J7" s="14" t="n">
        <f aca="false">-J5*Assumptions!$B$14</f>
        <v>-8563.3526129106</v>
      </c>
      <c r="K7" s="14" t="n">
        <f aca="false">-K5*Assumptions!$B$14</f>
        <v>-9644.86734861188</v>
      </c>
      <c r="L7" s="14" t="n">
        <f aca="false">-L5*Assumptions!$B$14</f>
        <v>-10770.8801474664</v>
      </c>
      <c r="M7" s="14" t="n">
        <f aca="false">-M5*Assumptions!$B$14</f>
        <v>-11943.6403840964</v>
      </c>
      <c r="N7" s="14" t="n">
        <f aca="false">-N5*Assumptions!$B$14</f>
        <v>-13165.4997195134</v>
      </c>
      <c r="O7" s="14" t="n">
        <f aca="false">-O5*Assumptions!$B$14</f>
        <v>-14438.9171044609</v>
      </c>
      <c r="P7" s="14" t="n">
        <f aca="false">-P5*Assumptions!$B$14</f>
        <v>-15766.4640198414</v>
      </c>
      <c r="Q7" s="14" t="n">
        <f aca="false">-Q5*Assumptions!$B$14</f>
        <v>-17150.8299658149</v>
      </c>
      <c r="R7" s="14" t="n">
        <f aca="false">-R5*Assumptions!$B$14</f>
        <v>-18594.8282117173</v>
      </c>
      <c r="S7" s="14" t="n">
        <f aca="false">-S5*Assumptions!$B$14</f>
        <v>-20101.4018195348</v>
      </c>
      <c r="T7" s="14" t="n">
        <f aca="false">-T5*Assumptions!$B$14</f>
        <v>-21673.6299542887</v>
      </c>
      <c r="U7" s="14" t="n">
        <f aca="false">-U5*Assumptions!$B$14</f>
        <v>-23314.7344953323</v>
      </c>
      <c r="V7" s="14" t="n">
        <f aca="false">-V5*Assumptions!$B$14</f>
        <v>-25028.0869632414</v>
      </c>
      <c r="W7" s="14" t="n">
        <f aca="false">-W5*Assumptions!$B$14</f>
        <v>-26817.2157776931</v>
      </c>
      <c r="X7" s="14" t="n">
        <f aca="false">-X5*Assumptions!$B$14</f>
        <v>-28685.8138624742</v>
      </c>
      <c r="Y7" s="14" t="n">
        <f aca="false">-Y5*Assumptions!$B$14</f>
        <v>-30637.7466145477</v>
      </c>
      <c r="Z7" s="14" t="n">
        <f aca="false">-Z5*Assumptions!$B$14</f>
        <v>-32677.0602549253</v>
      </c>
      <c r="AA7" s="14" t="n">
        <f aca="false">-AA5*Assumptions!$B$14</f>
        <v>-34807.9905799618</v>
      </c>
      <c r="AB7" s="14" t="n">
        <f aca="false">-AB5*Assumptions!$B$14</f>
        <v>-37034.9721325897</v>
      </c>
      <c r="AC7" s="14" t="n">
        <f aca="false">-AC5*Assumptions!$B$14</f>
        <v>-39362.6478139638</v>
      </c>
      <c r="AD7" s="14" t="n">
        <f aca="false">-AD5*Assumptions!$B$14</f>
        <v>-41795.8789569845</v>
      </c>
      <c r="AE7" s="14" t="n">
        <f aca="false">-AE5*Assumptions!$B$14</f>
        <v>-44339.7558842112</v>
      </c>
      <c r="AF7" s="14" t="n">
        <f aca="false">-AF5*Assumptions!$B$14</f>
        <v>-46999.6089737776</v>
      </c>
      <c r="AG7" s="14" t="n">
        <f aca="false">-AG5*Assumptions!$B$14</f>
        <v>-49781.0202580705</v>
      </c>
      <c r="AH7" s="14" t="n">
        <f aca="false">-AH5*Assumptions!$B$14</f>
        <v>-52689.8355811423</v>
      </c>
      <c r="AI7" s="14" t="n">
        <f aca="false">-AI5*Assumptions!$B$14</f>
        <v>-55732.1773420938</v>
      </c>
      <c r="AJ7" s="14" t="n">
        <f aca="false">-AJ5*Assumptions!$B$14</f>
        <v>-58914.4578529937</v>
      </c>
      <c r="AK7" s="14" t="n">
        <f aca="false">-AK5*Assumptions!$B$14</f>
        <v>-62243.3933412973</v>
      </c>
      <c r="AL7" s="14" t="n">
        <f aca="false">-AL5*Assumptions!$B$14</f>
        <v>-65726.0186281863</v>
      </c>
    </row>
    <row r="8" customFormat="false" ht="15" hidden="false" customHeight="false" outlineLevel="0" collapsed="false">
      <c r="A8" s="10" t="s">
        <v>142</v>
      </c>
      <c r="C8" s="14" t="n">
        <f aca="false">-C5*Assumptions!$B$15</f>
        <v>-517.279275</v>
      </c>
      <c r="D8" s="14" t="n">
        <f aca="false">-D5*Assumptions!$B$15</f>
        <v>-723.621703875</v>
      </c>
      <c r="E8" s="14" t="n">
        <f aca="false">-E5*Assumptions!$B$15</f>
        <v>-937.774404819375</v>
      </c>
      <c r="F8" s="14" t="n">
        <f aca="false">-F5*Assumptions!$B$15</f>
        <v>-1160.15131428672</v>
      </c>
      <c r="G8" s="14" t="n">
        <f aca="false">-G5*Assumptions!$B$15</f>
        <v>-1391.1846272982</v>
      </c>
      <c r="H8" s="14" t="n">
        <f aca="false">-H5*Assumptions!$B$15</f>
        <v>-1631.32570401295</v>
      </c>
      <c r="I8" s="14" t="n">
        <f aca="false">-I5*Assumptions!$B$15</f>
        <v>-1881.04601870478</v>
      </c>
      <c r="J8" s="14" t="n">
        <f aca="false">-J5*Assumptions!$B$15</f>
        <v>-2140.83815322765</v>
      </c>
      <c r="K8" s="14" t="n">
        <f aca="false">-K5*Assumptions!$B$15</f>
        <v>-2411.21683715297</v>
      </c>
      <c r="L8" s="14" t="n">
        <f aca="false">-L5*Assumptions!$B$15</f>
        <v>-2692.7200368666</v>
      </c>
      <c r="M8" s="14" t="n">
        <f aca="false">-M5*Assumptions!$B$15</f>
        <v>-2985.9100960241</v>
      </c>
      <c r="N8" s="14" t="n">
        <f aca="false">-N5*Assumptions!$B$15</f>
        <v>-3291.37492987835</v>
      </c>
      <c r="O8" s="14" t="n">
        <f aca="false">-O5*Assumptions!$B$15</f>
        <v>-3609.72927611523</v>
      </c>
      <c r="P8" s="14" t="n">
        <f aca="false">-P5*Assumptions!$B$15</f>
        <v>-3941.61600496034</v>
      </c>
      <c r="Q8" s="14" t="n">
        <f aca="false">-Q5*Assumptions!$B$15</f>
        <v>-4287.70749145372</v>
      </c>
      <c r="R8" s="14" t="n">
        <f aca="false">-R5*Assumptions!$B$15</f>
        <v>-4648.70705292932</v>
      </c>
      <c r="S8" s="14" t="n">
        <f aca="false">-S5*Assumptions!$B$15</f>
        <v>-5025.35045488371</v>
      </c>
      <c r="T8" s="14" t="n">
        <f aca="false">-T5*Assumptions!$B$15</f>
        <v>-5418.40748857219</v>
      </c>
      <c r="U8" s="14" t="n">
        <f aca="false">-U5*Assumptions!$B$15</f>
        <v>-5828.68362383308</v>
      </c>
      <c r="V8" s="14" t="n">
        <f aca="false">-V5*Assumptions!$B$15</f>
        <v>-6257.02174081035</v>
      </c>
      <c r="W8" s="14" t="n">
        <f aca="false">-W5*Assumptions!$B$15</f>
        <v>-6704.30394442326</v>
      </c>
      <c r="X8" s="14" t="n">
        <f aca="false">-X5*Assumptions!$B$15</f>
        <v>-7171.45346561856</v>
      </c>
      <c r="Y8" s="14" t="n">
        <f aca="false">-Y5*Assumptions!$B$15</f>
        <v>-7659.43665363693</v>
      </c>
      <c r="Z8" s="14" t="n">
        <f aca="false">-Z5*Assumptions!$B$15</f>
        <v>-8169.26506373133</v>
      </c>
      <c r="AA8" s="14" t="n">
        <f aca="false">-AA5*Assumptions!$B$15</f>
        <v>-8701.99764499046</v>
      </c>
      <c r="AB8" s="14" t="n">
        <f aca="false">-AB5*Assumptions!$B$15</f>
        <v>-9258.74303314742</v>
      </c>
      <c r="AC8" s="14" t="n">
        <f aca="false">-AC5*Assumptions!$B$15</f>
        <v>-9840.66195349095</v>
      </c>
      <c r="AD8" s="14" t="n">
        <f aca="false">-AD5*Assumptions!$B$15</f>
        <v>-10448.9697392461</v>
      </c>
      <c r="AE8" s="14" t="n">
        <f aca="false">-AE5*Assumptions!$B$15</f>
        <v>-11084.9389710528</v>
      </c>
      <c r="AF8" s="14" t="n">
        <f aca="false">-AF5*Assumptions!$B$15</f>
        <v>-11749.9022434444</v>
      </c>
      <c r="AG8" s="14" t="n">
        <f aca="false">-AG5*Assumptions!$B$15</f>
        <v>-12445.2550645176</v>
      </c>
      <c r="AH8" s="14" t="n">
        <f aca="false">-AH5*Assumptions!$B$15</f>
        <v>-13172.4588952856</v>
      </c>
      <c r="AI8" s="14" t="n">
        <f aca="false">-AI5*Assumptions!$B$15</f>
        <v>-13933.0443355234</v>
      </c>
      <c r="AJ8" s="14" t="n">
        <f aca="false">-AJ5*Assumptions!$B$15</f>
        <v>-14728.6144632484</v>
      </c>
      <c r="AK8" s="14" t="n">
        <f aca="false">-AK5*Assumptions!$B$15</f>
        <v>-15560.8483353243</v>
      </c>
      <c r="AL8" s="14" t="n">
        <f aca="false">-AL5*Assumptions!$B$15</f>
        <v>-16431.5046570466</v>
      </c>
    </row>
    <row r="9" customFormat="false" ht="15" hidden="false" customHeight="false" outlineLevel="0" collapsed="false">
      <c r="A9" s="10" t="s">
        <v>143</v>
      </c>
      <c r="C9" s="14" t="n">
        <f aca="false">-AVERAGE('Revenue Build'!C39,'Revenue Build'!C42)*Assumptions!$B$16</f>
        <v>-1277.48</v>
      </c>
      <c r="D9" s="14" t="n">
        <f aca="false">-AVERAGE('Revenue Build'!D39,'Revenue Build'!D42)*Assumptions!$B$16</f>
        <v>-1710.0892</v>
      </c>
      <c r="E9" s="14" t="n">
        <f aca="false">-AVERAGE('Revenue Build'!E39,'Revenue Build'!E42)*Assumptions!$B$16</f>
        <v>-2154.413428</v>
      </c>
      <c r="F9" s="14" t="n">
        <f aca="false">-AVERAGE('Revenue Build'!F39,'Revenue Build'!F42)*Assumptions!$B$16</f>
        <v>-2611.30279132</v>
      </c>
      <c r="G9" s="14" t="n">
        <f aca="false">-AVERAGE('Revenue Build'!G39,'Revenue Build'!G42)*Assumptions!$B$16</f>
        <v>-3081.6420504148</v>
      </c>
      <c r="H9" s="14" t="n">
        <f aca="false">-AVERAGE('Revenue Build'!H39,'Revenue Build'!H42)*Assumptions!$B$16</f>
        <v>-3566.35256394809</v>
      </c>
      <c r="I9" s="14" t="n">
        <f aca="false">-AVERAGE('Revenue Build'!I39,'Revenue Build'!I42)*Assumptions!$B$16</f>
        <v>-4066.39432432983</v>
      </c>
      <c r="J9" s="14" t="n">
        <f aca="false">-AVERAGE('Revenue Build'!J39,'Revenue Build'!J42)*Assumptions!$B$16</f>
        <v>-4582.76808841706</v>
      </c>
      <c r="K9" s="14" t="n">
        <f aca="false">-AVERAGE('Revenue Build'!K39,'Revenue Build'!K42)*Assumptions!$B$16</f>
        <v>-5116.51760830718</v>
      </c>
      <c r="L9" s="14" t="n">
        <f aca="false">-AVERAGE('Revenue Build'!L39,'Revenue Build'!L42)*Assumptions!$B$16</f>
        <v>-5668.73196739314</v>
      </c>
      <c r="M9" s="14" t="n">
        <f aca="false">-AVERAGE('Revenue Build'!M39,'Revenue Build'!M42)*Assumptions!$B$16</f>
        <v>-6240.54802710243</v>
      </c>
      <c r="N9" s="14" t="n">
        <f aca="false">-AVERAGE('Revenue Build'!N39,'Revenue Build'!N42)*Assumptions!$B$16</f>
        <v>-6833.15299000739</v>
      </c>
      <c r="O9" s="14" t="n">
        <f aca="false">-AVERAGE('Revenue Build'!O39,'Revenue Build'!O42)*Assumptions!$B$16</f>
        <v>-7447.78708527269</v>
      </c>
      <c r="P9" s="14" t="n">
        <f aca="false">-AVERAGE('Revenue Build'!P39,'Revenue Build'!P42)*Assumptions!$B$16</f>
        <v>-8085.74638269914</v>
      </c>
      <c r="Q9" s="14" t="n">
        <f aca="false">-AVERAGE('Revenue Build'!Q39,'Revenue Build'!Q42)*Assumptions!$B$16</f>
        <v>-8748.38574192994</v>
      </c>
      <c r="R9" s="14" t="n">
        <f aca="false">-AVERAGE('Revenue Build'!R39,'Revenue Build'!R42)*Assumptions!$B$16</f>
        <v>-9437.12190370913</v>
      </c>
      <c r="S9" s="14" t="n">
        <f aca="false">-AVERAGE('Revenue Build'!S39,'Revenue Build'!S42)*Assumptions!$B$16</f>
        <v>-10153.436730421</v>
      </c>
      <c r="T9" s="14" t="n">
        <f aca="false">-AVERAGE('Revenue Build'!T39,'Revenue Build'!T42)*Assumptions!$B$16</f>
        <v>-10898.8806034952</v>
      </c>
      <c r="U9" s="14" t="n">
        <f aca="false">-AVERAGE('Revenue Build'!U39,'Revenue Build'!U42)*Assumptions!$B$16</f>
        <v>-11675.0759856379</v>
      </c>
      <c r="V9" s="14" t="n">
        <f aca="false">-AVERAGE('Revenue Build'!V39,'Revenue Build'!V42)*Assumptions!$B$16</f>
        <v>-12483.7211562408</v>
      </c>
      <c r="W9" s="14" t="n">
        <f aca="false">-AVERAGE('Revenue Build'!W39,'Revenue Build'!W42)*Assumptions!$B$16</f>
        <v>-13326.5941287333</v>
      </c>
      <c r="X9" s="14" t="n">
        <f aca="false">-AVERAGE('Revenue Build'!X39,'Revenue Build'!X42)*Assumptions!$B$16</f>
        <v>-14205.5567590774</v>
      </c>
      <c r="Y9" s="14" t="n">
        <f aca="false">-AVERAGE('Revenue Build'!Y39,'Revenue Build'!Y42)*Assumptions!$B$16</f>
        <v>-15122.5590550599</v>
      </c>
      <c r="Z9" s="14" t="n">
        <f aca="false">-AVERAGE('Revenue Build'!Z39,'Revenue Build'!Z42)*Assumptions!$B$16</f>
        <v>-16079.6436965128</v>
      </c>
      <c r="AA9" s="14" t="n">
        <f aca="false">-AVERAGE('Revenue Build'!AA39,'Revenue Build'!AA42)*Assumptions!$B$16</f>
        <v>-17078.9507770981</v>
      </c>
      <c r="AB9" s="14" t="n">
        <f aca="false">-AVERAGE('Revenue Build'!AB39,'Revenue Build'!AB42)*Assumptions!$B$16</f>
        <v>-18122.7227788183</v>
      </c>
      <c r="AC9" s="14" t="n">
        <f aca="false">-AVERAGE('Revenue Build'!AC39,'Revenue Build'!AC42)*Assumptions!$B$16</f>
        <v>-19213.3097909685</v>
      </c>
      <c r="AD9" s="14" t="n">
        <f aca="false">-AVERAGE('Revenue Build'!AD39,'Revenue Build'!AD42)*Assumptions!$B$16</f>
        <v>-20353.1749858261</v>
      </c>
      <c r="AE9" s="14" t="n">
        <f aca="false">-AVERAGE('Revenue Build'!AE39,'Revenue Build'!AE42)*Assumptions!$B$16</f>
        <v>-21544.9003639878</v>
      </c>
      <c r="AF9" s="14" t="n">
        <f aca="false">-AVERAGE('Revenue Build'!AF39,'Revenue Build'!AF42)*Assumptions!$B$16</f>
        <v>-22791.1927829012</v>
      </c>
      <c r="AG9" s="14" t="n">
        <f aca="false">-AVERAGE('Revenue Build'!AG39,'Revenue Build'!AG42)*Assumptions!$B$16</f>
        <v>-24094.8902828133</v>
      </c>
      <c r="AH9" s="14" t="n">
        <f aca="false">-AVERAGE('Revenue Build'!AH39,'Revenue Build'!AH42)*Assumptions!$B$16</f>
        <v>-25458.968725066</v>
      </c>
      <c r="AI9" s="14" t="n">
        <f aca="false">-AVERAGE('Revenue Build'!AI39,'Revenue Build'!AI42)*Assumptions!$B$16</f>
        <v>-26886.548758409</v>
      </c>
      <c r="AJ9" s="14" t="n">
        <f aca="false">-AVERAGE('Revenue Build'!AJ39,'Revenue Build'!AJ42)*Assumptions!$B$16</f>
        <v>-28380.9031297821</v>
      </c>
      <c r="AK9" s="14" t="n">
        <f aca="false">-AVERAGE('Revenue Build'!AK39,'Revenue Build'!AK42)*Assumptions!$B$16</f>
        <v>-29945.4643568348</v>
      </c>
      <c r="AL9" s="14" t="n">
        <f aca="false">-AVERAGE('Revenue Build'!AL39,'Revenue Build'!AL42)*Assumptions!$B$16</f>
        <v>-31583.8327803143</v>
      </c>
    </row>
    <row r="10" customFormat="false" ht="15" hidden="false" customHeight="false" outlineLevel="0" collapsed="false">
      <c r="A10" s="43" t="s">
        <v>144</v>
      </c>
      <c r="C10" s="44" t="n">
        <f aca="false">SUM(C7:C9)</f>
        <v>-3863.876375</v>
      </c>
      <c r="D10" s="44" t="n">
        <f aca="false">SUM(D7:D9)</f>
        <v>-5328.197719375</v>
      </c>
      <c r="E10" s="44" t="n">
        <f aca="false">SUM(E7:E9)</f>
        <v>-6843.28545209688</v>
      </c>
      <c r="F10" s="44" t="n">
        <f aca="false">SUM(F7:F9)</f>
        <v>-8412.05936275361</v>
      </c>
      <c r="G10" s="44" t="n">
        <f aca="false">SUM(G7:G9)</f>
        <v>-10037.5651869058</v>
      </c>
      <c r="H10" s="44" t="n">
        <f aca="false">SUM(H7:H9)</f>
        <v>-11722.9810840128</v>
      </c>
      <c r="I10" s="44" t="n">
        <f aca="false">SUM(I7:I9)</f>
        <v>-13471.6244178537</v>
      </c>
      <c r="J10" s="44" t="n">
        <f aca="false">SUM(J7:J9)</f>
        <v>-15286.9588545553</v>
      </c>
      <c r="K10" s="44" t="n">
        <f aca="false">SUM(K7:K9)</f>
        <v>-17172.601794072</v>
      </c>
      <c r="L10" s="44" t="n">
        <f aca="false">SUM(L7:L9)</f>
        <v>-19132.3321517261</v>
      </c>
      <c r="M10" s="44" t="n">
        <f aca="false">SUM(M7:M9)</f>
        <v>-21170.0985072229</v>
      </c>
      <c r="N10" s="44" t="n">
        <f aca="false">SUM(N7:N9)</f>
        <v>-23290.0276393991</v>
      </c>
      <c r="O10" s="44" t="n">
        <f aca="false">SUM(O7:O9)</f>
        <v>-25496.4334658488</v>
      </c>
      <c r="P10" s="44" t="n">
        <f aca="false">SUM(P7:P9)</f>
        <v>-27793.8264075009</v>
      </c>
      <c r="Q10" s="44" t="n">
        <f aca="false">SUM(Q7:Q9)</f>
        <v>-30186.9231991985</v>
      </c>
      <c r="R10" s="44" t="n">
        <f aca="false">SUM(R7:R9)</f>
        <v>-32680.6571683557</v>
      </c>
      <c r="S10" s="44" t="n">
        <f aca="false">SUM(S7:S9)</f>
        <v>-35280.1890048395</v>
      </c>
      <c r="T10" s="44" t="n">
        <f aca="false">SUM(T7:T9)</f>
        <v>-37990.9180463561</v>
      </c>
      <c r="U10" s="44" t="n">
        <f aca="false">SUM(U7:U9)</f>
        <v>-40818.4941048033</v>
      </c>
      <c r="V10" s="44" t="n">
        <f aca="false">SUM(V7:V9)</f>
        <v>-43768.8298602926</v>
      </c>
      <c r="W10" s="44" t="n">
        <f aca="false">SUM(W7:W9)</f>
        <v>-46848.1138508496</v>
      </c>
      <c r="X10" s="44" t="n">
        <f aca="false">SUM(X7:X9)</f>
        <v>-50062.8240871702</v>
      </c>
      <c r="Y10" s="44" t="n">
        <f aca="false">SUM(Y7:Y9)</f>
        <v>-53419.7423232446</v>
      </c>
      <c r="Z10" s="44" t="n">
        <f aca="false">SUM(Z7:Z9)</f>
        <v>-56925.9690151694</v>
      </c>
      <c r="AA10" s="44" t="n">
        <f aca="false">SUM(AA7:AA9)</f>
        <v>-60588.9390020504</v>
      </c>
      <c r="AB10" s="44" t="n">
        <f aca="false">SUM(AB7:AB9)</f>
        <v>-64416.4379445554</v>
      </c>
      <c r="AC10" s="44" t="n">
        <f aca="false">SUM(AC7:AC9)</f>
        <v>-68416.6195584232</v>
      </c>
      <c r="AD10" s="44" t="n">
        <f aca="false">SUM(AD7:AD9)</f>
        <v>-72598.0236820568</v>
      </c>
      <c r="AE10" s="44" t="n">
        <f aca="false">SUM(AE7:AE9)</f>
        <v>-76969.5952192519</v>
      </c>
      <c r="AF10" s="44" t="n">
        <f aca="false">SUM(AF7:AF9)</f>
        <v>-81540.7040001232</v>
      </c>
      <c r="AG10" s="44" t="n">
        <f aca="false">SUM(AG7:AG9)</f>
        <v>-86321.1656054014</v>
      </c>
      <c r="AH10" s="44" t="n">
        <f aca="false">SUM(AH7:AH9)</f>
        <v>-91321.2632014939</v>
      </c>
      <c r="AI10" s="44" t="n">
        <f aca="false">SUM(AI7:AI9)</f>
        <v>-96551.7704360262</v>
      </c>
      <c r="AJ10" s="44" t="n">
        <f aca="false">SUM(AJ7:AJ9)</f>
        <v>-102023.975446024</v>
      </c>
      <c r="AK10" s="44" t="n">
        <f aca="false">SUM(AK7:AK9)</f>
        <v>-107749.706033456</v>
      </c>
      <c r="AL10" s="44" t="n">
        <f aca="false">SUM(AL7:AL9)</f>
        <v>-113741.356065547</v>
      </c>
    </row>
    <row r="11" customFormat="false" ht="15" hidden="false" customHeight="false" outlineLevel="0" collapsed="false">
      <c r="A11" s="16" t="s">
        <v>37</v>
      </c>
      <c r="C11" s="17" t="n">
        <f aca="false">C5+C10</f>
        <v>13378.766125</v>
      </c>
      <c r="D11" s="17" t="n">
        <f aca="false">D5+D10</f>
        <v>18792.525743125</v>
      </c>
      <c r="E11" s="17" t="n">
        <f aca="false">E5+E10</f>
        <v>24415.8613752156</v>
      </c>
      <c r="F11" s="17" t="n">
        <f aca="false">F5+F10</f>
        <v>30259.6511134705</v>
      </c>
      <c r="G11" s="17" t="n">
        <f aca="false">G5+G10</f>
        <v>36335.2557230341</v>
      </c>
      <c r="H11" s="17" t="n">
        <f aca="false">H5+H10</f>
        <v>42654.5423830855</v>
      </c>
      <c r="I11" s="17" t="n">
        <f aca="false">I5+I10</f>
        <v>49229.9095389721</v>
      </c>
      <c r="J11" s="17" t="n">
        <f aca="false">J5+J10</f>
        <v>56074.3129196997</v>
      </c>
      <c r="K11" s="17" t="n">
        <f aca="false">K5+K10</f>
        <v>63201.2927776936</v>
      </c>
      <c r="L11" s="17" t="n">
        <f aca="false">L5+L10</f>
        <v>70625.0024104938</v>
      </c>
      <c r="M11" s="17" t="n">
        <f aca="false">M5+M10</f>
        <v>78360.2380269137</v>
      </c>
      <c r="N11" s="17" t="n">
        <f aca="false">N5+N10</f>
        <v>86422.4700232126</v>
      </c>
      <c r="O11" s="17" t="n">
        <f aca="false">O5+O10</f>
        <v>94827.8757379921</v>
      </c>
      <c r="P11" s="17" t="n">
        <f aca="false">P5+P10</f>
        <v>103593.373757844</v>
      </c>
      <c r="Q11" s="17" t="n">
        <f aca="false">Q5+Q10</f>
        <v>112736.659849259</v>
      </c>
      <c r="R11" s="17" t="n">
        <f aca="false">R5+R10</f>
        <v>122276.244595955</v>
      </c>
      <c r="S11" s="17" t="n">
        <f aca="false">S5+S10</f>
        <v>132231.492824617</v>
      </c>
      <c r="T11" s="17" t="n">
        <f aca="false">T5+T10</f>
        <v>142622.66490605</v>
      </c>
      <c r="U11" s="17" t="n">
        <f aca="false">U5+U10</f>
        <v>153470.960022966</v>
      </c>
      <c r="V11" s="17" t="n">
        <f aca="false">V5+V10</f>
        <v>164798.561500052</v>
      </c>
      <c r="W11" s="17" t="n">
        <f aca="false">W5+W10</f>
        <v>176628.684296593</v>
      </c>
      <c r="X11" s="17" t="n">
        <f aca="false">X5+X10</f>
        <v>188985.624766782</v>
      </c>
      <c r="Y11" s="17" t="n">
        <f aca="false">Y5+Y10</f>
        <v>201894.812797986</v>
      </c>
      <c r="Z11" s="17" t="n">
        <f aca="false">Z5+Z10</f>
        <v>215382.866442541</v>
      </c>
      <c r="AA11" s="17" t="n">
        <f aca="false">AA5+AA10</f>
        <v>229477.649164298</v>
      </c>
      <c r="AB11" s="17" t="n">
        <f aca="false">AB5+AB10</f>
        <v>244208.329827025</v>
      </c>
      <c r="AC11" s="17" t="n">
        <f aca="false">AC5+AC10</f>
        <v>259605.445557942</v>
      </c>
      <c r="AD11" s="17" t="n">
        <f aca="false">AD5+AD10</f>
        <v>275700.967626148</v>
      </c>
      <c r="AE11" s="17" t="n">
        <f aca="false">AE5+AE10</f>
        <v>292528.370482508</v>
      </c>
      <c r="AF11" s="17" t="n">
        <f aca="false">AF5+AF10</f>
        <v>310122.70411469</v>
      </c>
      <c r="AG11" s="17" t="n">
        <f aca="false">AG5+AG10</f>
        <v>328520.669878519</v>
      </c>
      <c r="AH11" s="17" t="n">
        <f aca="false">AH5+AH10</f>
        <v>347760.699974692</v>
      </c>
      <c r="AI11" s="17" t="n">
        <f aca="false">AI5+AI10</f>
        <v>367883.040748089</v>
      </c>
      <c r="AJ11" s="17" t="n">
        <f aca="false">AJ5+AJ10</f>
        <v>388929.83999559</v>
      </c>
      <c r="AK11" s="17" t="n">
        <f aca="false">AK5+AK10</f>
        <v>410945.238477354</v>
      </c>
      <c r="AL11" s="17" t="n">
        <f aca="false">AL5+AL10</f>
        <v>433975.465836005</v>
      </c>
    </row>
    <row r="12" customFormat="false" ht="15" hidden="false" customHeight="false" outlineLevel="0" collapsed="false">
      <c r="A12" s="10" t="s">
        <v>38</v>
      </c>
      <c r="C12" s="41" t="n">
        <f aca="false">IF(C5&lt;&gt;0,C11/C5,0)</f>
        <v>0.775911588087499</v>
      </c>
      <c r="D12" s="41" t="n">
        <f aca="false">IF(D5&lt;&gt;0,D11/D5,0)</f>
        <v>0.779102905944814</v>
      </c>
      <c r="E12" s="41" t="n">
        <f aca="false">IF(E5&lt;&gt;0,E11/E5,0)</f>
        <v>0.781078943392096</v>
      </c>
      <c r="F12" s="41" t="n">
        <f aca="false">IF(F5&lt;&gt;0,F11/F5,0)</f>
        <v>0.782475115293246</v>
      </c>
      <c r="G12" s="41" t="n">
        <f aca="false">IF(G5&lt;&gt;0,G11/G5,0)</f>
        <v>0.783546375011354</v>
      </c>
      <c r="H12" s="41" t="n">
        <f aca="false">IF(H5&lt;&gt;0,H11/H5,0)</f>
        <v>0.784414950579609</v>
      </c>
      <c r="I12" s="41" t="n">
        <f aca="false">IF(I5&lt;&gt;0,I11/I5,0)</f>
        <v>0.785146812721842</v>
      </c>
      <c r="J12" s="41" t="n">
        <f aca="false">IF(J5&lt;&gt;0,J11/J5,0)</f>
        <v>0.785780739685887</v>
      </c>
      <c r="K12" s="41" t="n">
        <f aca="false">IF(K5&lt;&gt;0,K11/K5,0)</f>
        <v>0.78634105158686</v>
      </c>
      <c r="L12" s="41" t="n">
        <f aca="false">IF(L5&lt;&gt;0,L11/L5,0)</f>
        <v>0.786843802291572</v>
      </c>
      <c r="M12" s="41" t="n">
        <f aca="false">IF(M5&lt;&gt;0,M11/M5,0)</f>
        <v>0.787300040928104</v>
      </c>
      <c r="N12" s="41" t="n">
        <f aca="false">IF(N5&lt;&gt;0,N11/N5,0)</f>
        <v>0.787717642606035</v>
      </c>
      <c r="O12" s="41" t="n">
        <f aca="false">IF(O5&lt;&gt;0,O11/O5,0)</f>
        <v>0.788102390659435</v>
      </c>
      <c r="P12" s="41" t="n">
        <f aca="false">IF(P5&lt;&gt;0,P11/P5,0)</f>
        <v>0.788458644582398</v>
      </c>
      <c r="Q12" s="41" t="n">
        <f aca="false">IF(Q5&lt;&gt;0,Q11/Q5,0)</f>
        <v>0.788789767543374</v>
      </c>
      <c r="R12" s="41" t="n">
        <f aca="false">IF(R5&lt;&gt;0,R11/R5,0)</f>
        <v>0.789098408678414</v>
      </c>
      <c r="S12" s="41" t="n">
        <f aca="false">IF(S5&lt;&gt;0,S11/S5,0)</f>
        <v>0.789386694590302</v>
      </c>
      <c r="T12" s="41" t="n">
        <f aca="false">IF(T5&lt;&gt;0,T11/T5,0)</f>
        <v>0.789656362354723</v>
      </c>
      <c r="U12" s="41" t="n">
        <f aca="false">IF(U5&lt;&gt;0,U11/U5,0)</f>
        <v>0.789908853838458</v>
      </c>
      <c r="V12" s="41" t="n">
        <f aca="false">IF(V5&lt;&gt;0,V11/V5,0)</f>
        <v>0.790145383826216</v>
      </c>
      <c r="W12" s="41" t="n">
        <f aca="false">IF(W5&lt;&gt;0,W11/W5,0)</f>
        <v>0.790366990044573</v>
      </c>
      <c r="X12" s="41" t="n">
        <f aca="false">IF(X5&lt;&gt;0,X11/X5,0)</f>
        <v>0.79057457043883</v>
      </c>
      <c r="Y12" s="41" t="n">
        <f aca="false">IF(Y5&lt;&gt;0,Y11/Y5,0)</f>
        <v>0.79076891132243</v>
      </c>
      <c r="Z12" s="41" t="n">
        <f aca="false">IF(Z5&lt;&gt;0,Z11/Z5,0)</f>
        <v>0.790950708890935</v>
      </c>
      <c r="AA12" s="41" t="n">
        <f aca="false">IF(AA5&lt;&gt;0,AA11/AA5,0)</f>
        <v>0.791120585845263</v>
      </c>
      <c r="AB12" s="41" t="n">
        <f aca="false">IF(AB5&lt;&gt;0,AB11/AB5,0)</f>
        <v>0.791279104364588</v>
      </c>
      <c r="AC12" s="41" t="n">
        <f aca="false">IF(AC5&lt;&gt;0,AC11/AC5,0)</f>
        <v>0.791426776323256</v>
      </c>
      <c r="AD12" s="41" t="n">
        <f aca="false">IF(AD5&lt;&gt;0,AD11/AD5,0)</f>
        <v>0.791564071404916</v>
      </c>
      <c r="AE12" s="41" t="n">
        <f aca="false">IF(AE5&lt;&gt;0,AE11/AE5,0)</f>
        <v>0.791691423596692</v>
      </c>
      <c r="AF12" s="41" t="n">
        <f aca="false">IF(AF5&lt;&gt;0,AF11/AF5,0)</f>
        <v>0.7918092364242</v>
      </c>
      <c r="AG12" s="41" t="n">
        <f aca="false">IF(AG5&lt;&gt;0,AG11/AG5,0)</f>
        <v>0.791917887199814</v>
      </c>
      <c r="AH12" s="41" t="n">
        <f aca="false">IF(AH5&lt;&gt;0,AH11/AH5,0)</f>
        <v>0.792017730491812</v>
      </c>
      <c r="AI12" s="41" t="n">
        <f aca="false">IF(AI5&lt;&gt;0,AI11/AI5,0)</f>
        <v>0.792109100974021</v>
      </c>
      <c r="AJ12" s="41" t="n">
        <f aca="false">IF(AJ5&lt;&gt;0,AJ11/AJ5,0)</f>
        <v>0.792192315779737</v>
      </c>
      <c r="AK12" s="41" t="n">
        <f aca="false">IF(AK5&lt;&gt;0,AK11/AK5,0)</f>
        <v>0.792267676456579</v>
      </c>
      <c r="AL12" s="41" t="n">
        <f aca="false">IF(AL5&lt;&gt;0,AL11/AL5,0)</f>
        <v>0.792335470598361</v>
      </c>
    </row>
    <row r="13" customFormat="false" ht="15" hidden="false" customHeight="false" outlineLevel="0" collapsed="false">
      <c r="A13" s="8" t="s">
        <v>145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customFormat="false" ht="15" hidden="false" customHeight="false" outlineLevel="0" collapsed="false">
      <c r="A14" s="10" t="s">
        <v>146</v>
      </c>
      <c r="C14" s="14" t="n">
        <f aca="false">-('Revenue Build'!C7*Assumptions!$B$11+'Revenue Build'!C18*Assumptions!$C$11+'Revenue Build'!C29*Assumptions!$D$11+Assumptions!$B$17)</f>
        <v>-73500</v>
      </c>
      <c r="D14" s="14" t="n">
        <f aca="false">-('Revenue Build'!D7*Assumptions!$B$11+'Revenue Build'!D18*Assumptions!$C$11+'Revenue Build'!D29*Assumptions!$D$11+Assumptions!$B$17)</f>
        <v>-76185</v>
      </c>
      <c r="E14" s="14" t="n">
        <f aca="false">-('Revenue Build'!E7*Assumptions!$B$11+'Revenue Build'!E18*Assumptions!$C$11+'Revenue Build'!E29*Assumptions!$D$11+Assumptions!$B$17)</f>
        <v>-78994.65</v>
      </c>
      <c r="F14" s="14" t="n">
        <f aca="false">-('Revenue Build'!F7*Assumptions!$B$11+'Revenue Build'!F18*Assumptions!$C$11+'Revenue Build'!F29*Assumptions!$D$11+Assumptions!$B$17)</f>
        <v>-81934.7985</v>
      </c>
      <c r="G14" s="14" t="n">
        <f aca="false">-('Revenue Build'!G7*Assumptions!$B$11+'Revenue Build'!G18*Assumptions!$C$11+'Revenue Build'!G29*Assumptions!$D$11+Assumptions!$B$17)</f>
        <v>-85011.571065</v>
      </c>
      <c r="H14" s="14" t="n">
        <f aca="false">-('Revenue Build'!H7*Assumptions!$B$11+'Revenue Build'!H18*Assumptions!$C$11+'Revenue Build'!H29*Assumptions!$D$11+Assumptions!$B$17)</f>
        <v>-88231.38356385</v>
      </c>
      <c r="I14" s="14" t="n">
        <f aca="false">-('Revenue Build'!I7*Assumptions!$B$11+'Revenue Build'!I18*Assumptions!$C$11+'Revenue Build'!I29*Assumptions!$D$11+Assumptions!$B$17)</f>
        <v>-91600.9560454665</v>
      </c>
      <c r="J14" s="14" t="n">
        <f aca="false">-('Revenue Build'!J7*Assumptions!$B$11+'Revenue Build'!J18*Assumptions!$C$11+'Revenue Build'!J29*Assumptions!$D$11+Assumptions!$B$17)</f>
        <v>-95127.3272833008</v>
      </c>
      <c r="K14" s="14" t="n">
        <f aca="false">-('Revenue Build'!K7*Assumptions!$B$11+'Revenue Build'!K18*Assumptions!$C$11+'Revenue Build'!K29*Assumptions!$D$11+Assumptions!$B$17)</f>
        <v>-98817.8700204493</v>
      </c>
      <c r="L14" s="14" t="n">
        <f aca="false">-('Revenue Build'!L7*Assumptions!$B$11+'Revenue Build'!L18*Assumptions!$C$11+'Revenue Build'!L29*Assumptions!$D$11+Assumptions!$B$17)</f>
        <v>-102680.306949374</v>
      </c>
      <c r="M14" s="14" t="n">
        <f aca="false">-('Revenue Build'!M7*Assumptions!$B$11+'Revenue Build'!M18*Assumptions!$C$11+'Revenue Build'!M29*Assumptions!$D$11+Assumptions!$B$17)</f>
        <v>-106722.727461862</v>
      </c>
      <c r="N14" s="14" t="n">
        <f aca="false">-('Revenue Build'!N7*Assumptions!$B$11+'Revenue Build'!N18*Assumptions!$C$11+'Revenue Build'!N29*Assumptions!$D$11+Assumptions!$B$17)</f>
        <v>-110953.605206575</v>
      </c>
      <c r="O14" s="14" t="n">
        <f aca="false">-('Revenue Build'!O7*Assumptions!$B$11+'Revenue Build'!O18*Assumptions!$C$11+'Revenue Build'!O29*Assumptions!$D$11+Assumptions!$B$17)</f>
        <v>-115381.816493388</v>
      </c>
      <c r="P14" s="14" t="n">
        <f aca="false">-('Revenue Build'!P7*Assumptions!$B$11+'Revenue Build'!P18*Assumptions!$C$11+'Revenue Build'!P29*Assumptions!$D$11+Assumptions!$B$17)</f>
        <v>-120016.659585601</v>
      </c>
      <c r="Q14" s="14" t="n">
        <f aca="false">-('Revenue Build'!Q7*Assumptions!$B$11+'Revenue Build'!Q18*Assumptions!$C$11+'Revenue Build'!Q29*Assumptions!$D$11+Assumptions!$B$17)</f>
        <v>-124867.874923127</v>
      </c>
      <c r="R14" s="14" t="n">
        <f aca="false">-('Revenue Build'!R7*Assumptions!$B$11+'Revenue Build'!R18*Assumptions!$C$11+'Revenue Build'!R29*Assumptions!$D$11+Assumptions!$B$17)</f>
        <v>-129945.666321858</v>
      </c>
      <c r="S14" s="14" t="n">
        <f aca="false">-('Revenue Build'!S7*Assumptions!$B$11+'Revenue Build'!S18*Assumptions!$C$11+'Revenue Build'!S29*Assumptions!$D$11+Assumptions!$B$17)</f>
        <v>-135260.723196629</v>
      </c>
      <c r="T14" s="14" t="n">
        <f aca="false">-('Revenue Build'!T7*Assumptions!$B$11+'Revenue Build'!T18*Assumptions!$C$11+'Revenue Build'!T29*Assumptions!$D$11+Assumptions!$B$17)</f>
        <v>-140824.243857486</v>
      </c>
      <c r="U14" s="14" t="n">
        <f aca="false">-('Revenue Build'!U7*Assumptions!$B$11+'Revenue Build'!U18*Assumptions!$C$11+'Revenue Build'!U29*Assumptions!$D$11+Assumptions!$B$17)</f>
        <v>-146647.959931427</v>
      </c>
      <c r="V14" s="14" t="n">
        <f aca="false">-('Revenue Build'!V7*Assumptions!$B$11+'Revenue Build'!V18*Assumptions!$C$11+'Revenue Build'!V29*Assumptions!$D$11+Assumptions!$B$17)</f>
        <v>-152744.161964308</v>
      </c>
      <c r="W14" s="14" t="n">
        <f aca="false">-('Revenue Build'!W7*Assumptions!$B$11+'Revenue Build'!W18*Assumptions!$C$11+'Revenue Build'!W29*Assumptions!$D$11+Assumptions!$B$17)</f>
        <v>-159125.726260285</v>
      </c>
      <c r="X14" s="14" t="n">
        <f aca="false">-('Revenue Build'!X7*Assumptions!$B$11+'Revenue Build'!X18*Assumptions!$C$11+'Revenue Build'!X29*Assumptions!$D$11+Assumptions!$B$17)</f>
        <v>-165806.143018971</v>
      </c>
      <c r="Y14" s="14" t="n">
        <f aca="false">-('Revenue Build'!Y7*Assumptions!$B$11+'Revenue Build'!Y18*Assumptions!$C$11+'Revenue Build'!Y29*Assumptions!$D$11+Assumptions!$B$17)</f>
        <v>-172799.545833418</v>
      </c>
      <c r="Z14" s="14" t="n">
        <f aca="false">-('Revenue Build'!Z7*Assumptions!$B$11+'Revenue Build'!Z18*Assumptions!$C$11+'Revenue Build'!Z29*Assumptions!$D$11+Assumptions!$B$17)</f>
        <v>-180120.742615128</v>
      </c>
      <c r="AA14" s="14" t="n">
        <f aca="false">-('Revenue Build'!AA7*Assumptions!$B$11+'Revenue Build'!AA18*Assumptions!$C$11+'Revenue Build'!AA29*Assumptions!$D$11+Assumptions!$B$17)</f>
        <v>-187785.248015525</v>
      </c>
      <c r="AB14" s="14" t="n">
        <f aca="false">-('Revenue Build'!AB7*Assumptions!$B$11+'Revenue Build'!AB18*Assumptions!$C$11+'Revenue Build'!AB29*Assumptions!$D$11+Assumptions!$B$17)</f>
        <v>-195809.317416727</v>
      </c>
      <c r="AC14" s="14" t="n">
        <f aca="false">-('Revenue Build'!AC7*Assumptions!$B$11+'Revenue Build'!AC18*Assumptions!$C$11+'Revenue Build'!AC29*Assumptions!$D$11+Assumptions!$B$17)</f>
        <v>-204209.982568006</v>
      </c>
      <c r="AD14" s="14" t="n">
        <f aca="false">-('Revenue Build'!AD7*Assumptions!$B$11+'Revenue Build'!AD18*Assumptions!$C$11+'Revenue Build'!AD29*Assumptions!$D$11+Assumptions!$B$17)</f>
        <v>-213005.088948067</v>
      </c>
      <c r="AE14" s="14" t="n">
        <f aca="false">-('Revenue Build'!AE7*Assumptions!$B$11+'Revenue Build'!AE18*Assumptions!$C$11+'Revenue Build'!AE29*Assumptions!$D$11+Assumptions!$B$17)</f>
        <v>-222213.334937198</v>
      </c>
      <c r="AF14" s="14" t="n">
        <f aca="false">-('Revenue Build'!AF7*Assumptions!$B$11+'Revenue Build'!AF18*Assumptions!$C$11+'Revenue Build'!AF29*Assumptions!$D$11+Assumptions!$B$17)</f>
        <v>-231854.312887454</v>
      </c>
      <c r="AG14" s="14" t="n">
        <f aca="false">-('Revenue Build'!AG7*Assumptions!$B$11+'Revenue Build'!AG18*Assumptions!$C$11+'Revenue Build'!AG29*Assumptions!$D$11+Assumptions!$B$17)</f>
        <v>-241948.552183359</v>
      </c>
      <c r="AH14" s="14" t="n">
        <f aca="false">-('Revenue Build'!AH7*Assumptions!$B$11+'Revenue Build'!AH18*Assumptions!$C$11+'Revenue Build'!AH29*Assumptions!$D$11+Assumptions!$B$17)</f>
        <v>-252517.56439012</v>
      </c>
      <c r="AI14" s="14" t="n">
        <f aca="false">-('Revenue Build'!AI7*Assumptions!$B$11+'Revenue Build'!AI18*Assumptions!$C$11+'Revenue Build'!AI29*Assumptions!$D$11+Assumptions!$B$17)</f>
        <v>-263583.890591124</v>
      </c>
      <c r="AJ14" s="14" t="n">
        <f aca="false">-('Revenue Build'!AJ7*Assumptions!$B$11+'Revenue Build'!AJ18*Assumptions!$C$11+'Revenue Build'!AJ29*Assumptions!$D$11+Assumptions!$B$17)</f>
        <v>-275171.151021437</v>
      </c>
      <c r="AK14" s="14" t="n">
        <f aca="false">-('Revenue Build'!AK7*Assumptions!$B$11+'Revenue Build'!AK18*Assumptions!$C$11+'Revenue Build'!AK29*Assumptions!$D$11+Assumptions!$B$17)</f>
        <v>-287304.097109296</v>
      </c>
      <c r="AL14" s="14" t="n">
        <f aca="false">-('Revenue Build'!AL7*Assumptions!$B$11+'Revenue Build'!AL18*Assumptions!$C$11+'Revenue Build'!AL29*Assumptions!$D$11+Assumptions!$B$17)</f>
        <v>-300008.666043019</v>
      </c>
    </row>
    <row r="15" customFormat="false" ht="15" hidden="false" customHeight="false" outlineLevel="0" collapsed="false">
      <c r="A15" s="10" t="s">
        <v>147</v>
      </c>
      <c r="C15" s="14" t="n">
        <f aca="false">-Assumptions!$B$18*(1+Assumptions!$B$19)^(C$2-1)</f>
        <v>-60000</v>
      </c>
      <c r="D15" s="14" t="n">
        <f aca="false">-Assumptions!$B$18*(1+Assumptions!$B$19)^(D$2-1)</f>
        <v>-60900</v>
      </c>
      <c r="E15" s="14" t="n">
        <f aca="false">-Assumptions!$B$18*(1+Assumptions!$B$19)^(E$2-1)</f>
        <v>-61813.5</v>
      </c>
      <c r="F15" s="14" t="n">
        <f aca="false">-Assumptions!$B$18*(1+Assumptions!$B$19)^(F$2-1)</f>
        <v>-62740.7025</v>
      </c>
      <c r="G15" s="14" t="n">
        <f aca="false">-Assumptions!$B$18*(1+Assumptions!$B$19)^(G$2-1)</f>
        <v>-63681.8130375</v>
      </c>
      <c r="H15" s="14" t="n">
        <f aca="false">-Assumptions!$B$18*(1+Assumptions!$B$19)^(H$2-1)</f>
        <v>-64637.0402330625</v>
      </c>
      <c r="I15" s="14" t="n">
        <f aca="false">-Assumptions!$B$18*(1+Assumptions!$B$19)^(I$2-1)</f>
        <v>-65606.5958365584</v>
      </c>
      <c r="J15" s="14" t="n">
        <f aca="false">-Assumptions!$B$18*(1+Assumptions!$B$19)^(J$2-1)</f>
        <v>-66590.6947741068</v>
      </c>
      <c r="K15" s="14" t="n">
        <f aca="false">-Assumptions!$B$18*(1+Assumptions!$B$19)^(K$2-1)</f>
        <v>-67589.5551957184</v>
      </c>
      <c r="L15" s="14" t="n">
        <f aca="false">-Assumptions!$B$18*(1+Assumptions!$B$19)^(L$2-1)</f>
        <v>-68603.3985236541</v>
      </c>
      <c r="M15" s="14" t="n">
        <f aca="false">-Assumptions!$B$18*(1+Assumptions!$B$19)^(M$2-1)</f>
        <v>-69632.4495015089</v>
      </c>
      <c r="N15" s="14" t="n">
        <f aca="false">-Assumptions!$B$18*(1+Assumptions!$B$19)^(N$2-1)</f>
        <v>-70676.9362440316</v>
      </c>
      <c r="O15" s="14" t="n">
        <f aca="false">-Assumptions!$B$18*(1+Assumptions!$B$19)^(O$2-1)</f>
        <v>-71737.090287692</v>
      </c>
      <c r="P15" s="14" t="n">
        <f aca="false">-Assumptions!$B$18*(1+Assumptions!$B$19)^(P$2-1)</f>
        <v>-72813.1466420074</v>
      </c>
      <c r="Q15" s="14" t="n">
        <f aca="false">-Assumptions!$B$18*(1+Assumptions!$B$19)^(Q$2-1)</f>
        <v>-73905.3438416375</v>
      </c>
      <c r="R15" s="14" t="n">
        <f aca="false">-Assumptions!$B$18*(1+Assumptions!$B$19)^(R$2-1)</f>
        <v>-75013.9239992621</v>
      </c>
      <c r="S15" s="14" t="n">
        <f aca="false">-Assumptions!$B$18*(1+Assumptions!$B$19)^(S$2-1)</f>
        <v>-76139.132859251</v>
      </c>
      <c r="T15" s="14" t="n">
        <f aca="false">-Assumptions!$B$18*(1+Assumptions!$B$19)^(T$2-1)</f>
        <v>-77281.2198521397</v>
      </c>
      <c r="U15" s="14" t="n">
        <f aca="false">-Assumptions!$B$18*(1+Assumptions!$B$19)^(U$2-1)</f>
        <v>-78440.4381499218</v>
      </c>
      <c r="V15" s="14" t="n">
        <f aca="false">-Assumptions!$B$18*(1+Assumptions!$B$19)^(V$2-1)</f>
        <v>-79617.0447221707</v>
      </c>
      <c r="W15" s="14" t="n">
        <f aca="false">-Assumptions!$B$18*(1+Assumptions!$B$19)^(W$2-1)</f>
        <v>-80811.3003930032</v>
      </c>
      <c r="X15" s="14" t="n">
        <f aca="false">-Assumptions!$B$18*(1+Assumptions!$B$19)^(X$2-1)</f>
        <v>-82023.4698988983</v>
      </c>
      <c r="Y15" s="14" t="n">
        <f aca="false">-Assumptions!$B$18*(1+Assumptions!$B$19)^(Y$2-1)</f>
        <v>-83253.8219473817</v>
      </c>
      <c r="Z15" s="14" t="n">
        <f aca="false">-Assumptions!$B$18*(1+Assumptions!$B$19)^(Z$2-1)</f>
        <v>-84502.6292765924</v>
      </c>
      <c r="AA15" s="14" t="n">
        <f aca="false">-Assumptions!$B$18*(1+Assumptions!$B$19)^(AA$2-1)</f>
        <v>-85770.1687157413</v>
      </c>
      <c r="AB15" s="14" t="n">
        <f aca="false">-Assumptions!$B$18*(1+Assumptions!$B$19)^(AB$2-1)</f>
        <v>-87056.7212464774</v>
      </c>
      <c r="AC15" s="14" t="n">
        <f aca="false">-Assumptions!$B$18*(1+Assumptions!$B$19)^(AC$2-1)</f>
        <v>-88362.5720651746</v>
      </c>
      <c r="AD15" s="14" t="n">
        <f aca="false">-Assumptions!$B$18*(1+Assumptions!$B$19)^(AD$2-1)</f>
        <v>-89688.0106461522</v>
      </c>
      <c r="AE15" s="14" t="n">
        <f aca="false">-Assumptions!$B$18*(1+Assumptions!$B$19)^(AE$2-1)</f>
        <v>-91033.3308058445</v>
      </c>
      <c r="AF15" s="14" t="n">
        <f aca="false">-Assumptions!$B$18*(1+Assumptions!$B$19)^(AF$2-1)</f>
        <v>-92398.8307679321</v>
      </c>
      <c r="AG15" s="14" t="n">
        <f aca="false">-Assumptions!$B$18*(1+Assumptions!$B$19)^(AG$2-1)</f>
        <v>-93784.8132294511</v>
      </c>
      <c r="AH15" s="14" t="n">
        <f aca="false">-Assumptions!$B$18*(1+Assumptions!$B$19)^(AH$2-1)</f>
        <v>-95191.5854278928</v>
      </c>
      <c r="AI15" s="14" t="n">
        <f aca="false">-Assumptions!$B$18*(1+Assumptions!$B$19)^(AI$2-1)</f>
        <v>-96619.4592093112</v>
      </c>
      <c r="AJ15" s="14" t="n">
        <f aca="false">-Assumptions!$B$18*(1+Assumptions!$B$19)^(AJ$2-1)</f>
        <v>-98068.7510974509</v>
      </c>
      <c r="AK15" s="14" t="n">
        <f aca="false">-Assumptions!$B$18*(1+Assumptions!$B$19)^(AK$2-1)</f>
        <v>-99539.7823639126</v>
      </c>
      <c r="AL15" s="14" t="n">
        <f aca="false">-Assumptions!$B$18*(1+Assumptions!$B$19)^(AL$2-1)</f>
        <v>-101032.879099371</v>
      </c>
    </row>
    <row r="16" customFormat="false" ht="15" hidden="false" customHeight="false" outlineLevel="0" collapsed="false">
      <c r="A16" s="10" t="s">
        <v>148</v>
      </c>
      <c r="C16" s="14" t="n">
        <f aca="false">-Assumptions!$B$20*(1+Assumptions!$B$21)^(C$2-1)</f>
        <v>-25000</v>
      </c>
      <c r="D16" s="14" t="n">
        <f aca="false">-Assumptions!$B$20*(1+Assumptions!$B$21)^(D$2-1)</f>
        <v>-25250</v>
      </c>
      <c r="E16" s="14" t="n">
        <f aca="false">-Assumptions!$B$20*(1+Assumptions!$B$21)^(E$2-1)</f>
        <v>-25502.5</v>
      </c>
      <c r="F16" s="14" t="n">
        <f aca="false">-Assumptions!$B$20*(1+Assumptions!$B$21)^(F$2-1)</f>
        <v>-25757.525</v>
      </c>
      <c r="G16" s="14" t="n">
        <f aca="false">-Assumptions!$B$20*(1+Assumptions!$B$21)^(G$2-1)</f>
        <v>-26015.10025</v>
      </c>
      <c r="H16" s="14" t="n">
        <f aca="false">-Assumptions!$B$20*(1+Assumptions!$B$21)^(H$2-1)</f>
        <v>-26275.2512525</v>
      </c>
      <c r="I16" s="14" t="n">
        <f aca="false">-Assumptions!$B$20*(1+Assumptions!$B$21)^(I$2-1)</f>
        <v>-26538.003765025</v>
      </c>
      <c r="J16" s="14" t="n">
        <f aca="false">-Assumptions!$B$20*(1+Assumptions!$B$21)^(J$2-1)</f>
        <v>-26803.3838026753</v>
      </c>
      <c r="K16" s="14" t="n">
        <f aca="false">-Assumptions!$B$20*(1+Assumptions!$B$21)^(K$2-1)</f>
        <v>-27071.417640702</v>
      </c>
      <c r="L16" s="14" t="n">
        <f aca="false">-Assumptions!$B$20*(1+Assumptions!$B$21)^(L$2-1)</f>
        <v>-27342.131817109</v>
      </c>
      <c r="M16" s="14" t="n">
        <f aca="false">-Assumptions!$B$20*(1+Assumptions!$B$21)^(M$2-1)</f>
        <v>-27615.5531352801</v>
      </c>
      <c r="N16" s="14" t="n">
        <f aca="false">-Assumptions!$B$20*(1+Assumptions!$B$21)^(N$2-1)</f>
        <v>-27891.7086666329</v>
      </c>
      <c r="O16" s="14" t="n">
        <f aca="false">-Assumptions!$B$20*(1+Assumptions!$B$21)^(O$2-1)</f>
        <v>-28170.6257532992</v>
      </c>
      <c r="P16" s="14" t="n">
        <f aca="false">-Assumptions!$B$20*(1+Assumptions!$B$21)^(P$2-1)</f>
        <v>-28452.3320108322</v>
      </c>
      <c r="Q16" s="14" t="n">
        <f aca="false">-Assumptions!$B$20*(1+Assumptions!$B$21)^(Q$2-1)</f>
        <v>-28736.8553309406</v>
      </c>
      <c r="R16" s="14" t="n">
        <f aca="false">-Assumptions!$B$20*(1+Assumptions!$B$21)^(R$2-1)</f>
        <v>-29024.22388425</v>
      </c>
      <c r="S16" s="14" t="n">
        <f aca="false">-Assumptions!$B$20*(1+Assumptions!$B$21)^(S$2-1)</f>
        <v>-29314.4661230925</v>
      </c>
      <c r="T16" s="14" t="n">
        <f aca="false">-Assumptions!$B$20*(1+Assumptions!$B$21)^(T$2-1)</f>
        <v>-29607.6107843234</v>
      </c>
      <c r="U16" s="14" t="n">
        <f aca="false">-Assumptions!$B$20*(1+Assumptions!$B$21)^(U$2-1)</f>
        <v>-29903.6868921666</v>
      </c>
      <c r="V16" s="14" t="n">
        <f aca="false">-Assumptions!$B$20*(1+Assumptions!$B$21)^(V$2-1)</f>
        <v>-30202.7237610883</v>
      </c>
      <c r="W16" s="14" t="n">
        <f aca="false">-Assumptions!$B$20*(1+Assumptions!$B$21)^(W$2-1)</f>
        <v>-30504.7509986992</v>
      </c>
      <c r="X16" s="14" t="n">
        <f aca="false">-Assumptions!$B$20*(1+Assumptions!$B$21)^(X$2-1)</f>
        <v>-30809.7985086862</v>
      </c>
      <c r="Y16" s="14" t="n">
        <f aca="false">-Assumptions!$B$20*(1+Assumptions!$B$21)^(Y$2-1)</f>
        <v>-31117.896493773</v>
      </c>
      <c r="Z16" s="14" t="n">
        <f aca="false">-Assumptions!$B$20*(1+Assumptions!$B$21)^(Z$2-1)</f>
        <v>-31429.0754587108</v>
      </c>
      <c r="AA16" s="14" t="n">
        <f aca="false">-Assumptions!$B$20*(1+Assumptions!$B$21)^(AA$2-1)</f>
        <v>-31743.3662132979</v>
      </c>
      <c r="AB16" s="14" t="n">
        <f aca="false">-Assumptions!$B$20*(1+Assumptions!$B$21)^(AB$2-1)</f>
        <v>-32060.7998754308</v>
      </c>
      <c r="AC16" s="14" t="n">
        <f aca="false">-Assumptions!$B$20*(1+Assumptions!$B$21)^(AC$2-1)</f>
        <v>-32381.4078741852</v>
      </c>
      <c r="AD16" s="14" t="n">
        <f aca="false">-Assumptions!$B$20*(1+Assumptions!$B$21)^(AD$2-1)</f>
        <v>-32705.221952927</v>
      </c>
      <c r="AE16" s="14" t="n">
        <f aca="false">-Assumptions!$B$20*(1+Assumptions!$B$21)^(AE$2-1)</f>
        <v>-33032.2741724563</v>
      </c>
      <c r="AF16" s="14" t="n">
        <f aca="false">-Assumptions!$B$20*(1+Assumptions!$B$21)^(AF$2-1)</f>
        <v>-33362.5969141808</v>
      </c>
      <c r="AG16" s="14" t="n">
        <f aca="false">-Assumptions!$B$20*(1+Assumptions!$B$21)^(AG$2-1)</f>
        <v>-33696.2228833227</v>
      </c>
      <c r="AH16" s="14" t="n">
        <f aca="false">-Assumptions!$B$20*(1+Assumptions!$B$21)^(AH$2-1)</f>
        <v>-34033.1851121559</v>
      </c>
      <c r="AI16" s="14" t="n">
        <f aca="false">-Assumptions!$B$20*(1+Assumptions!$B$21)^(AI$2-1)</f>
        <v>-34373.5169632774</v>
      </c>
      <c r="AJ16" s="14" t="n">
        <f aca="false">-Assumptions!$B$20*(1+Assumptions!$B$21)^(AJ$2-1)</f>
        <v>-34717.2521329102</v>
      </c>
      <c r="AK16" s="14" t="n">
        <f aca="false">-Assumptions!$B$20*(1+Assumptions!$B$21)^(AK$2-1)</f>
        <v>-35064.4246542393</v>
      </c>
      <c r="AL16" s="14" t="n">
        <f aca="false">-Assumptions!$B$20*(1+Assumptions!$B$21)^(AL$2-1)</f>
        <v>-35415.0689007817</v>
      </c>
    </row>
    <row r="17" customFormat="false" ht="15" hidden="false" customHeight="false" outlineLevel="0" collapsed="false">
      <c r="A17" s="43" t="s">
        <v>149</v>
      </c>
      <c r="C17" s="44" t="n">
        <f aca="false">SUM(C14:C16)</f>
        <v>-158500</v>
      </c>
      <c r="D17" s="44" t="n">
        <f aca="false">SUM(D14:D16)</f>
        <v>-162335</v>
      </c>
      <c r="E17" s="44" t="n">
        <f aca="false">SUM(E14:E16)</f>
        <v>-166310.65</v>
      </c>
      <c r="F17" s="44" t="n">
        <f aca="false">SUM(F14:F16)</f>
        <v>-170433.026</v>
      </c>
      <c r="G17" s="44" t="n">
        <f aca="false">SUM(G14:G16)</f>
        <v>-174708.4843525</v>
      </c>
      <c r="H17" s="44" t="n">
        <f aca="false">SUM(H14:H16)</f>
        <v>-179143.675049412</v>
      </c>
      <c r="I17" s="44" t="n">
        <f aca="false">SUM(I14:I16)</f>
        <v>-183745.55564705</v>
      </c>
      <c r="J17" s="44" t="n">
        <f aca="false">SUM(J14:J16)</f>
        <v>-188521.405860083</v>
      </c>
      <c r="K17" s="44" t="n">
        <f aca="false">SUM(K14:K16)</f>
        <v>-193478.84285687</v>
      </c>
      <c r="L17" s="44" t="n">
        <f aca="false">SUM(L14:L16)</f>
        <v>-198625.837290138</v>
      </c>
      <c r="M17" s="44" t="n">
        <f aca="false">SUM(M14:M16)</f>
        <v>-203970.730098651</v>
      </c>
      <c r="N17" s="44" t="n">
        <f aca="false">SUM(N14:N16)</f>
        <v>-209522.250117239</v>
      </c>
      <c r="O17" s="44" t="n">
        <f aca="false">SUM(O14:O16)</f>
        <v>-215289.532534379</v>
      </c>
      <c r="P17" s="44" t="n">
        <f aca="false">SUM(P14:P16)</f>
        <v>-221282.138238441</v>
      </c>
      <c r="Q17" s="44" t="n">
        <f aca="false">SUM(Q14:Q16)</f>
        <v>-227510.074095705</v>
      </c>
      <c r="R17" s="44" t="n">
        <f aca="false">SUM(R14:R16)</f>
        <v>-233983.81420537</v>
      </c>
      <c r="S17" s="44" t="n">
        <f aca="false">SUM(S14:S16)</f>
        <v>-240714.322178973</v>
      </c>
      <c r="T17" s="44" t="n">
        <f aca="false">SUM(T14:T16)</f>
        <v>-247713.07449395</v>
      </c>
      <c r="U17" s="44" t="n">
        <f aca="false">SUM(U14:U16)</f>
        <v>-254992.084973516</v>
      </c>
      <c r="V17" s="44" t="n">
        <f aca="false">SUM(V14:V16)</f>
        <v>-262563.930447567</v>
      </c>
      <c r="W17" s="44" t="n">
        <f aca="false">SUM(W14:W16)</f>
        <v>-270441.777651987</v>
      </c>
      <c r="X17" s="44" t="n">
        <f aca="false">SUM(X14:X16)</f>
        <v>-278639.411426555</v>
      </c>
      <c r="Y17" s="44" t="n">
        <f aca="false">SUM(Y14:Y16)</f>
        <v>-287171.264274573</v>
      </c>
      <c r="Z17" s="44" t="n">
        <f aca="false">SUM(Z14:Z16)</f>
        <v>-296052.447350431</v>
      </c>
      <c r="AA17" s="44" t="n">
        <f aca="false">SUM(AA14:AA16)</f>
        <v>-305298.782944564</v>
      </c>
      <c r="AB17" s="44" t="n">
        <f aca="false">SUM(AB14:AB16)</f>
        <v>-314926.838538635</v>
      </c>
      <c r="AC17" s="44" t="n">
        <f aca="false">SUM(AC14:AC16)</f>
        <v>-324953.962507366</v>
      </c>
      <c r="AD17" s="44" t="n">
        <f aca="false">SUM(AD14:AD16)</f>
        <v>-335398.321547147</v>
      </c>
      <c r="AE17" s="44" t="n">
        <f aca="false">SUM(AE14:AE16)</f>
        <v>-346278.939915499</v>
      </c>
      <c r="AF17" s="44" t="n">
        <f aca="false">SUM(AF14:AF16)</f>
        <v>-357615.740569567</v>
      </c>
      <c r="AG17" s="44" t="n">
        <f aca="false">SUM(AG14:AG16)</f>
        <v>-369429.588296133</v>
      </c>
      <c r="AH17" s="44" t="n">
        <f aca="false">SUM(AH14:AH16)</f>
        <v>-381742.334930169</v>
      </c>
      <c r="AI17" s="44" t="n">
        <f aca="false">SUM(AI14:AI16)</f>
        <v>-394576.866763712</v>
      </c>
      <c r="AJ17" s="44" t="n">
        <f aca="false">SUM(AJ14:AJ16)</f>
        <v>-407957.154251798</v>
      </c>
      <c r="AK17" s="44" t="n">
        <f aca="false">SUM(AK14:AK16)</f>
        <v>-421908.304127448</v>
      </c>
      <c r="AL17" s="44" t="n">
        <f aca="false">SUM(AL14:AL16)</f>
        <v>-436456.614043172</v>
      </c>
    </row>
    <row r="18" customFormat="false" ht="15" hidden="false" customHeight="false" outlineLevel="0" collapsed="false">
      <c r="A18" s="16" t="s">
        <v>40</v>
      </c>
      <c r="C18" s="17" t="n">
        <f aca="false">C11+C17</f>
        <v>-145121.233875</v>
      </c>
      <c r="D18" s="17" t="n">
        <f aca="false">D11+D17</f>
        <v>-143542.474256875</v>
      </c>
      <c r="E18" s="17" t="n">
        <f aca="false">E11+E17</f>
        <v>-141894.788624784</v>
      </c>
      <c r="F18" s="17" t="n">
        <f aca="false">F11+F17</f>
        <v>-140173.37488653</v>
      </c>
      <c r="G18" s="17" t="n">
        <f aca="false">G11+G17</f>
        <v>-138373.228629466</v>
      </c>
      <c r="H18" s="17" t="n">
        <f aca="false">H11+H17</f>
        <v>-136489.132666327</v>
      </c>
      <c r="I18" s="17" t="n">
        <f aca="false">I11+I17</f>
        <v>-134515.646108078</v>
      </c>
      <c r="J18" s="17" t="n">
        <f aca="false">J11+J17</f>
        <v>-132447.092940383</v>
      </c>
      <c r="K18" s="17" t="n">
        <f aca="false">K11+K17</f>
        <v>-130277.550079176</v>
      </c>
      <c r="L18" s="17" t="n">
        <f aca="false">L11+L17</f>
        <v>-128000.834879644</v>
      </c>
      <c r="M18" s="17" t="n">
        <f aca="false">M11+M17</f>
        <v>-125610.492071737</v>
      </c>
      <c r="N18" s="17" t="n">
        <f aca="false">N11+N17</f>
        <v>-123099.780094027</v>
      </c>
      <c r="O18" s="17" t="n">
        <f aca="false">O11+O17</f>
        <v>-120461.656796387</v>
      </c>
      <c r="P18" s="17" t="n">
        <f aca="false">P11+P17</f>
        <v>-117688.764480597</v>
      </c>
      <c r="Q18" s="17" t="n">
        <f aca="false">Q11+Q17</f>
        <v>-114773.414246446</v>
      </c>
      <c r="R18" s="17" t="n">
        <f aca="false">R11+R17</f>
        <v>-111707.569609415</v>
      </c>
      <c r="S18" s="17" t="n">
        <f aca="false">S11+S17</f>
        <v>-108482.829354356</v>
      </c>
      <c r="T18" s="17" t="n">
        <f aca="false">T11+T17</f>
        <v>-105090.409587899</v>
      </c>
      <c r="U18" s="17" t="n">
        <f aca="false">U11+U17</f>
        <v>-101521.12495055</v>
      </c>
      <c r="V18" s="17" t="n">
        <f aca="false">V11+V17</f>
        <v>-97765.3689475143</v>
      </c>
      <c r="W18" s="17" t="n">
        <f aca="false">W11+W17</f>
        <v>-93813.0933553945</v>
      </c>
      <c r="X18" s="17" t="n">
        <f aca="false">X11+X17</f>
        <v>-89653.7866597737</v>
      </c>
      <c r="Y18" s="17" t="n">
        <f aca="false">Y11+Y17</f>
        <v>-85276.4514765867</v>
      </c>
      <c r="Z18" s="17" t="n">
        <f aca="false">Z11+Z17</f>
        <v>-80669.5809078898</v>
      </c>
      <c r="AA18" s="17" t="n">
        <f aca="false">AA11+AA17</f>
        <v>-75821.1337802657</v>
      </c>
      <c r="AB18" s="17" t="n">
        <f aca="false">AB11+AB17</f>
        <v>-70718.5087116099</v>
      </c>
      <c r="AC18" s="17" t="n">
        <f aca="false">AC11+AC17</f>
        <v>-65348.5169494243</v>
      </c>
      <c r="AD18" s="17" t="n">
        <f aca="false">AD11+AD17</f>
        <v>-59697.3539209989</v>
      </c>
      <c r="AE18" s="17" t="n">
        <f aca="false">AE11+AE17</f>
        <v>-53750.5694329903</v>
      </c>
      <c r="AF18" s="17" t="n">
        <f aca="false">AF11+AF17</f>
        <v>-47493.0364548771</v>
      </c>
      <c r="AG18" s="17" t="n">
        <f aca="false">AG11+AG17</f>
        <v>-40908.9184176135</v>
      </c>
      <c r="AH18" s="17" t="n">
        <f aca="false">AH11+AH17</f>
        <v>-33981.6349554771</v>
      </c>
      <c r="AI18" s="17" t="n">
        <f aca="false">AI11+AI17</f>
        <v>-26693.8260156236</v>
      </c>
      <c r="AJ18" s="17" t="n">
        <f aca="false">AJ11+AJ17</f>
        <v>-19027.3142562075</v>
      </c>
      <c r="AK18" s="17" t="n">
        <f aca="false">AK11+AK17</f>
        <v>-10963.0656500938</v>
      </c>
      <c r="AL18" s="17" t="n">
        <f aca="false">AL11+AL17</f>
        <v>-2481.14820716716</v>
      </c>
    </row>
    <row r="19" customFormat="false" ht="15" hidden="false" customHeight="false" outlineLevel="0" collapsed="false">
      <c r="A19" s="10" t="s">
        <v>41</v>
      </c>
      <c r="C19" s="41" t="n">
        <f aca="false">IF(C5&lt;&gt;0,C18/C5,0)</f>
        <v>-8.41641493610971</v>
      </c>
      <c r="D19" s="41" t="n">
        <f aca="false">IF(D5&lt;&gt;0,D18/D5,0)</f>
        <v>-5.95100202860986</v>
      </c>
      <c r="E19" s="41" t="n">
        <f aca="false">IF(E5&lt;&gt;0,E18/E5,0)</f>
        <v>-4.53930458846703</v>
      </c>
      <c r="F19" s="41" t="n">
        <f aca="false">IF(F5&lt;&gt;0,F18/F5,0)</f>
        <v>-3.62470067034429</v>
      </c>
      <c r="G19" s="41" t="n">
        <f aca="false">IF(G5&lt;&gt;0,G18/G5,0)</f>
        <v>-2.98392950685917</v>
      </c>
      <c r="H19" s="41" t="n">
        <f aca="false">IF(H5&lt;&gt;0,H18/H5,0)</f>
        <v>-2.51002848169265</v>
      </c>
      <c r="I19" s="41" t="n">
        <f aca="false">IF(I5&lt;&gt;0,I18/I5,0)</f>
        <v>-2.14533261978408</v>
      </c>
      <c r="J19" s="41" t="n">
        <f aca="false">IF(J5&lt;&gt;0,J18/J5,0)</f>
        <v>-1.8560080229423</v>
      </c>
      <c r="K19" s="41" t="n">
        <f aca="false">IF(K5&lt;&gt;0,K18/K5,0)</f>
        <v>-1.62089383341816</v>
      </c>
      <c r="L19" s="41" t="n">
        <f aca="false">IF(L5&lt;&gt;0,L18/L5,0)</f>
        <v>-1.42607660425693</v>
      </c>
      <c r="M19" s="41" t="n">
        <f aca="false">IF(M5&lt;&gt;0,M18/M5,0)</f>
        <v>-1.26203222500565</v>
      </c>
      <c r="N19" s="41" t="n">
        <f aca="false">IF(N5&lt;&gt;0,N18/N5,0)</f>
        <v>-1.12202148995444</v>
      </c>
      <c r="O19" s="41" t="n">
        <f aca="false">IF(O5&lt;&gt;0,O18/O5,0)</f>
        <v>-1.00114147833846</v>
      </c>
      <c r="P19" s="41" t="n">
        <f aca="false">IF(P5&lt;&gt;0,P18/P5,0)</f>
        <v>-0.895739952845413</v>
      </c>
      <c r="Q19" s="41" t="n">
        <f aca="false">IF(Q5&lt;&gt;0,Q18/Q5,0)</f>
        <v>-0.803040420610872</v>
      </c>
      <c r="R19" s="41" t="n">
        <f aca="false">IF(R5&lt;&gt;0,R18/R5,0)</f>
        <v>-0.720894444439283</v>
      </c>
      <c r="S19" s="41" t="n">
        <f aca="false">IF(S5&lt;&gt;0,S18/S5,0)</f>
        <v>-0.647613516678804</v>
      </c>
      <c r="T19" s="41" t="n">
        <f aca="false">IF(T5&lt;&gt;0,T18/T5,0)</f>
        <v>-0.58185219444759</v>
      </c>
      <c r="U19" s="41" t="n">
        <f aca="false">IF(U5&lt;&gt;0,U18/U5,0)</f>
        <v>-0.52252514376713</v>
      </c>
      <c r="V19" s="41" t="n">
        <f aca="false">IF(V5&lt;&gt;0,V18/V5,0)</f>
        <v>-0.468747143596401</v>
      </c>
      <c r="W19" s="41" t="n">
        <f aca="false">IF(W5&lt;&gt;0,W18/W5,0)</f>
        <v>-0.419788963029173</v>
      </c>
      <c r="X19" s="41" t="n">
        <f aca="false">IF(X5&lt;&gt;0,X18/X5,0)</f>
        <v>-0.375044419194488</v>
      </c>
      <c r="Y19" s="41" t="n">
        <f aca="false">IF(Y5&lt;&gt;0,Y18/Y5,0)</f>
        <v>-0.334005444523501</v>
      </c>
      <c r="Z19" s="41" t="n">
        <f aca="false">IF(Z5&lt;&gt;0,Z18/Z5,0)</f>
        <v>-0.296242980042481</v>
      </c>
      <c r="AA19" s="41" t="n">
        <f aca="false">IF(AA5&lt;&gt;0,AA18/AA5,0)</f>
        <v>-0.261392166052518</v>
      </c>
      <c r="AB19" s="41" t="n">
        <f aca="false">IF(AB5&lt;&gt;0,AB18/AB5,0)</f>
        <v>-0.229140743376598</v>
      </c>
      <c r="AC19" s="41" t="n">
        <f aca="false">IF(AC5&lt;&gt;0,AC18/AC5,0)</f>
        <v>-0.199219881523037</v>
      </c>
      <c r="AD19" s="41" t="n">
        <f aca="false">IF(AD5&lt;&gt;0,AD18/AD5,0)</f>
        <v>-0.171396861348282</v>
      </c>
      <c r="AE19" s="41" t="n">
        <f aca="false">IF(AE5&lt;&gt;0,AE18/AE5,0)</f>
        <v>-0.145469189068215</v>
      </c>
      <c r="AF19" s="41" t="n">
        <f aca="false">IF(AF5&lt;&gt;0,AF18/AF5,0)</f>
        <v>-0.121259825326738</v>
      </c>
      <c r="AG19" s="41" t="n">
        <f aca="false">IF(AG5&lt;&gt;0,AG18/AG5,0)</f>
        <v>-0.0986132904601884</v>
      </c>
      <c r="AH19" s="41" t="n">
        <f aca="false">IF(AH5&lt;&gt;0,AH18/AH5,0)</f>
        <v>-0.077392463834461</v>
      </c>
      <c r="AI19" s="41" t="n">
        <f aca="false">IF(AI5&lt;&gt;0,AI18/AI5,0)</f>
        <v>-0.0574759371451195</v>
      </c>
      <c r="AJ19" s="41" t="n">
        <f aca="false">IF(AJ5&lt;&gt;0,AJ18/AJ5,0)</f>
        <v>-0.0387558129863852</v>
      </c>
      <c r="AK19" s="41" t="n">
        <f aca="false">IF(AK5&lt;&gt;0,AK18/AK5,0)</f>
        <v>-0.021135863701994</v>
      </c>
      <c r="AL19" s="41" t="n">
        <f aca="false">IF(AL5&lt;&gt;0,AL18/AL5,0)</f>
        <v>-0.00452998357536868</v>
      </c>
    </row>
    <row r="20" customFormat="false" ht="15" hidden="false" customHeight="false" outlineLevel="0" collapsed="false">
      <c r="A20" s="10" t="s">
        <v>150</v>
      </c>
      <c r="C20" s="14" t="n">
        <f aca="false">SUM('Cash Flow'!$C$11:C11)/Assumptions!$B$23</f>
        <v>-138.888888888889</v>
      </c>
      <c r="D20" s="14" t="n">
        <f aca="false">SUM('Cash Flow'!$C$11:D11)/Assumptions!$B$23</f>
        <v>-277.777777777778</v>
      </c>
      <c r="E20" s="14" t="n">
        <f aca="false">SUM('Cash Flow'!$C$11:E11)/Assumptions!$B$23</f>
        <v>-416.666666666667</v>
      </c>
      <c r="F20" s="14" t="n">
        <f aca="false">SUM('Cash Flow'!$C$11:F11)/Assumptions!$B$23</f>
        <v>-555.555555555556</v>
      </c>
      <c r="G20" s="14" t="n">
        <f aca="false">SUM('Cash Flow'!$C$11:G11)/Assumptions!$B$23</f>
        <v>-694.444444444445</v>
      </c>
      <c r="H20" s="14" t="n">
        <f aca="false">SUM('Cash Flow'!$C$11:H11)/Assumptions!$B$23</f>
        <v>-833.333333333333</v>
      </c>
      <c r="I20" s="14" t="n">
        <f aca="false">SUM('Cash Flow'!$C$11:I11)/Assumptions!$B$23</f>
        <v>-972.222222222222</v>
      </c>
      <c r="J20" s="14" t="n">
        <f aca="false">SUM('Cash Flow'!$C$11:J11)/Assumptions!$B$23</f>
        <v>-1111.11111111111</v>
      </c>
      <c r="K20" s="14" t="n">
        <f aca="false">SUM('Cash Flow'!$C$11:K11)/Assumptions!$B$23</f>
        <v>-1250</v>
      </c>
      <c r="L20" s="14" t="n">
        <f aca="false">SUM('Cash Flow'!$C$11:L11)/Assumptions!$B$23</f>
        <v>-1388.88888888889</v>
      </c>
      <c r="M20" s="14" t="n">
        <f aca="false">SUM('Cash Flow'!$C$11:M11)/Assumptions!$B$23</f>
        <v>-1527.77777777778</v>
      </c>
      <c r="N20" s="14" t="n">
        <f aca="false">SUM('Cash Flow'!$C$11:N11)/Assumptions!$B$23</f>
        <v>-1666.66666666667</v>
      </c>
      <c r="O20" s="14" t="n">
        <f aca="false">SUM('Cash Flow'!$C$11:O11)/Assumptions!$B$23</f>
        <v>-1805.55555555556</v>
      </c>
      <c r="P20" s="14" t="n">
        <f aca="false">SUM('Cash Flow'!$C$11:P11)/Assumptions!$B$23</f>
        <v>-1944.44444444444</v>
      </c>
      <c r="Q20" s="14" t="n">
        <f aca="false">SUM('Cash Flow'!$C$11:Q11)/Assumptions!$B$23</f>
        <v>-2083.33333333333</v>
      </c>
      <c r="R20" s="14" t="n">
        <f aca="false">SUM('Cash Flow'!$C$11:R11)/Assumptions!$B$23</f>
        <v>-2222.22222222222</v>
      </c>
      <c r="S20" s="14" t="n">
        <f aca="false">SUM('Cash Flow'!$C$11:S11)/Assumptions!$B$23</f>
        <v>-2361.11111111111</v>
      </c>
      <c r="T20" s="14" t="n">
        <f aca="false">SUM('Cash Flow'!$C$11:T11)/Assumptions!$B$23</f>
        <v>-2500</v>
      </c>
      <c r="U20" s="14" t="n">
        <f aca="false">SUM('Cash Flow'!$C$11:U11)/Assumptions!$B$23</f>
        <v>-2638.88888888889</v>
      </c>
      <c r="V20" s="14" t="n">
        <f aca="false">SUM('Cash Flow'!$C$11:V11)/Assumptions!$B$23</f>
        <v>-2777.77777777778</v>
      </c>
      <c r="W20" s="14" t="n">
        <f aca="false">SUM('Cash Flow'!$C$11:W11)/Assumptions!$B$23</f>
        <v>-2916.66666666667</v>
      </c>
      <c r="X20" s="14" t="n">
        <f aca="false">SUM('Cash Flow'!$C$11:X11)/Assumptions!$B$23</f>
        <v>-3055.55555555556</v>
      </c>
      <c r="Y20" s="14" t="n">
        <f aca="false">SUM('Cash Flow'!$C$11:Y11)/Assumptions!$B$23</f>
        <v>-3194.44444444444</v>
      </c>
      <c r="Z20" s="14" t="n">
        <f aca="false">SUM('Cash Flow'!$C$11:Z11)/Assumptions!$B$23</f>
        <v>-3333.33333333333</v>
      </c>
      <c r="AA20" s="14" t="n">
        <f aca="false">SUM('Cash Flow'!$C$11:AA11)/Assumptions!$B$23</f>
        <v>-3472.22222222222</v>
      </c>
      <c r="AB20" s="14" t="n">
        <f aca="false">SUM('Cash Flow'!$C$11:AB11)/Assumptions!$B$23</f>
        <v>-3611.11111111111</v>
      </c>
      <c r="AC20" s="14" t="n">
        <f aca="false">SUM('Cash Flow'!$C$11:AC11)/Assumptions!$B$23</f>
        <v>-3750</v>
      </c>
      <c r="AD20" s="14" t="n">
        <f aca="false">SUM('Cash Flow'!$C$11:AD11)/Assumptions!$B$23</f>
        <v>-3888.88888888889</v>
      </c>
      <c r="AE20" s="14" t="n">
        <f aca="false">SUM('Cash Flow'!$C$11:AE11)/Assumptions!$B$23</f>
        <v>-4027.77777777778</v>
      </c>
      <c r="AF20" s="14" t="n">
        <f aca="false">SUM('Cash Flow'!$C$11:AF11)/Assumptions!$B$23</f>
        <v>-4166.66666666667</v>
      </c>
      <c r="AG20" s="14" t="n">
        <f aca="false">SUM('Cash Flow'!$C$11:AG11)/Assumptions!$B$23</f>
        <v>-4305.55555555556</v>
      </c>
      <c r="AH20" s="14" t="n">
        <f aca="false">SUM('Cash Flow'!$C$11:AH11)/Assumptions!$B$23</f>
        <v>-4444.44444444444</v>
      </c>
      <c r="AI20" s="14" t="n">
        <f aca="false">SUM('Cash Flow'!$C$11:AI11)/Assumptions!$B$23</f>
        <v>-4583.33333333333</v>
      </c>
      <c r="AJ20" s="14" t="n">
        <f aca="false">SUM('Cash Flow'!$C$11:AJ11)/Assumptions!$B$23</f>
        <v>-4722.22222222222</v>
      </c>
      <c r="AK20" s="14" t="n">
        <f aca="false">SUM('Cash Flow'!$C$11:AK11)/Assumptions!$B$23</f>
        <v>-4861.11111111111</v>
      </c>
      <c r="AL20" s="14" t="n">
        <f aca="false">SUM('Cash Flow'!$C$11:AL11)/Assumptions!$B$23</f>
        <v>-5000</v>
      </c>
    </row>
    <row r="21" customFormat="false" ht="15" hidden="false" customHeight="false" outlineLevel="0" collapsed="false">
      <c r="A21" s="36" t="s">
        <v>151</v>
      </c>
      <c r="C21" s="40" t="n">
        <f aca="false">C18+C20</f>
        <v>-145260.122763889</v>
      </c>
      <c r="D21" s="40" t="n">
        <f aca="false">D18+D20</f>
        <v>-143820.252034653</v>
      </c>
      <c r="E21" s="40" t="n">
        <f aca="false">E18+E20</f>
        <v>-142311.455291451</v>
      </c>
      <c r="F21" s="40" t="n">
        <f aca="false">F18+F20</f>
        <v>-140728.930442085</v>
      </c>
      <c r="G21" s="40" t="n">
        <f aca="false">G18+G20</f>
        <v>-139067.67307391</v>
      </c>
      <c r="H21" s="40" t="n">
        <f aca="false">H18+H20</f>
        <v>-137322.46599966</v>
      </c>
      <c r="I21" s="40" t="n">
        <f aca="false">I18+I20</f>
        <v>-135487.8683303</v>
      </c>
      <c r="J21" s="40" t="n">
        <f aca="false">J18+J20</f>
        <v>-133558.204051494</v>
      </c>
      <c r="K21" s="40" t="n">
        <f aca="false">K18+K20</f>
        <v>-131527.550079176</v>
      </c>
      <c r="L21" s="40" t="n">
        <f aca="false">L18+L20</f>
        <v>-129389.723768533</v>
      </c>
      <c r="M21" s="40" t="n">
        <f aca="false">M18+M20</f>
        <v>-127138.269849515</v>
      </c>
      <c r="N21" s="40" t="n">
        <f aca="false">N18+N20</f>
        <v>-124766.446760693</v>
      </c>
      <c r="O21" s="40" t="n">
        <f aca="false">O18+O20</f>
        <v>-122267.212351943</v>
      </c>
      <c r="P21" s="40" t="n">
        <f aca="false">P18+P20</f>
        <v>-119633.208925041</v>
      </c>
      <c r="Q21" s="40" t="n">
        <f aca="false">Q18+Q20</f>
        <v>-116856.747579779</v>
      </c>
      <c r="R21" s="40" t="n">
        <f aca="false">R18+R20</f>
        <v>-113929.791831638</v>
      </c>
      <c r="S21" s="40" t="n">
        <f aca="false">S18+S20</f>
        <v>-110843.940465467</v>
      </c>
      <c r="T21" s="40" t="n">
        <f aca="false">T18+T20</f>
        <v>-107590.409587899</v>
      </c>
      <c r="U21" s="40" t="n">
        <f aca="false">U18+U20</f>
        <v>-104160.013839439</v>
      </c>
      <c r="V21" s="40" t="n">
        <f aca="false">V18+V20</f>
        <v>-100543.146725292</v>
      </c>
      <c r="W21" s="40" t="n">
        <f aca="false">W18+W20</f>
        <v>-96729.7600220612</v>
      </c>
      <c r="X21" s="40" t="n">
        <f aca="false">X18+X20</f>
        <v>-92709.3422153292</v>
      </c>
      <c r="Y21" s="40" t="n">
        <f aca="false">Y18+Y20</f>
        <v>-88470.8959210311</v>
      </c>
      <c r="Z21" s="40" t="n">
        <f aca="false">Z18+Z20</f>
        <v>-84002.9142412231</v>
      </c>
      <c r="AA21" s="40" t="n">
        <f aca="false">AA18+AA20</f>
        <v>-79293.3560024879</v>
      </c>
      <c r="AB21" s="40" t="n">
        <f aca="false">AB18+AB20</f>
        <v>-74329.619822721</v>
      </c>
      <c r="AC21" s="40" t="n">
        <f aca="false">AC18+AC20</f>
        <v>-69098.5169494243</v>
      </c>
      <c r="AD21" s="40" t="n">
        <f aca="false">AD18+AD20</f>
        <v>-63586.2428098878</v>
      </c>
      <c r="AE21" s="40" t="n">
        <f aca="false">AE18+AE20</f>
        <v>-57778.3472107681</v>
      </c>
      <c r="AF21" s="40" t="n">
        <f aca="false">AF18+AF20</f>
        <v>-51659.7031215438</v>
      </c>
      <c r="AG21" s="40" t="n">
        <f aca="false">AG18+AG20</f>
        <v>-45214.4739731691</v>
      </c>
      <c r="AH21" s="40" t="n">
        <f aca="false">AH18+AH20</f>
        <v>-38426.0793999215</v>
      </c>
      <c r="AI21" s="40" t="n">
        <f aca="false">AI18+AI20</f>
        <v>-31277.159348957</v>
      </c>
      <c r="AJ21" s="40" t="n">
        <f aca="false">AJ18+AJ20</f>
        <v>-23749.5364784297</v>
      </c>
      <c r="AK21" s="40" t="n">
        <f aca="false">AK18+AK20</f>
        <v>-15824.1767612049</v>
      </c>
      <c r="AL21" s="40" t="n">
        <f aca="false">AL18+AL20</f>
        <v>-7481.14820716716</v>
      </c>
    </row>
    <row r="22" customFormat="false" ht="15" hidden="false" customHeight="false" outlineLevel="0" collapsed="false">
      <c r="A22" s="10" t="s">
        <v>152</v>
      </c>
      <c r="C22" s="14" t="n">
        <f aca="false">-MAX(0,C21)*Assumptions!$B$24</f>
        <v>-0</v>
      </c>
      <c r="D22" s="14" t="n">
        <f aca="false">-MAX(0,D21)*Assumptions!$B$24</f>
        <v>-0</v>
      </c>
      <c r="E22" s="14" t="n">
        <f aca="false">-MAX(0,E21)*Assumptions!$B$24</f>
        <v>-0</v>
      </c>
      <c r="F22" s="14" t="n">
        <f aca="false">-MAX(0,F21)*Assumptions!$B$24</f>
        <v>-0</v>
      </c>
      <c r="G22" s="14" t="n">
        <f aca="false">-MAX(0,G21)*Assumptions!$B$24</f>
        <v>-0</v>
      </c>
      <c r="H22" s="14" t="n">
        <f aca="false">-MAX(0,H21)*Assumptions!$B$24</f>
        <v>-0</v>
      </c>
      <c r="I22" s="14" t="n">
        <f aca="false">-MAX(0,I21)*Assumptions!$B$24</f>
        <v>-0</v>
      </c>
      <c r="J22" s="14" t="n">
        <f aca="false">-MAX(0,J21)*Assumptions!$B$24</f>
        <v>-0</v>
      </c>
      <c r="K22" s="14" t="n">
        <f aca="false">-MAX(0,K21)*Assumptions!$B$24</f>
        <v>-0</v>
      </c>
      <c r="L22" s="14" t="n">
        <f aca="false">-MAX(0,L21)*Assumptions!$B$24</f>
        <v>-0</v>
      </c>
      <c r="M22" s="14" t="n">
        <f aca="false">-MAX(0,M21)*Assumptions!$B$24</f>
        <v>-0</v>
      </c>
      <c r="N22" s="14" t="n">
        <f aca="false">-MAX(0,N21)*Assumptions!$B$24</f>
        <v>-0</v>
      </c>
      <c r="O22" s="14" t="n">
        <f aca="false">-MAX(0,O21)*Assumptions!$B$24</f>
        <v>-0</v>
      </c>
      <c r="P22" s="14" t="n">
        <f aca="false">-MAX(0,P21)*Assumptions!$B$24</f>
        <v>-0</v>
      </c>
      <c r="Q22" s="14" t="n">
        <f aca="false">-MAX(0,Q21)*Assumptions!$B$24</f>
        <v>-0</v>
      </c>
      <c r="R22" s="14" t="n">
        <f aca="false">-MAX(0,R21)*Assumptions!$B$24</f>
        <v>-0</v>
      </c>
      <c r="S22" s="14" t="n">
        <f aca="false">-MAX(0,S21)*Assumptions!$B$24</f>
        <v>-0</v>
      </c>
      <c r="T22" s="14" t="n">
        <f aca="false">-MAX(0,T21)*Assumptions!$B$24</f>
        <v>-0</v>
      </c>
      <c r="U22" s="14" t="n">
        <f aca="false">-MAX(0,U21)*Assumptions!$B$24</f>
        <v>-0</v>
      </c>
      <c r="V22" s="14" t="n">
        <f aca="false">-MAX(0,V21)*Assumptions!$B$24</f>
        <v>-0</v>
      </c>
      <c r="W22" s="14" t="n">
        <f aca="false">-MAX(0,W21)*Assumptions!$B$24</f>
        <v>-0</v>
      </c>
      <c r="X22" s="14" t="n">
        <f aca="false">-MAX(0,X21)*Assumptions!$B$24</f>
        <v>-0</v>
      </c>
      <c r="Y22" s="14" t="n">
        <f aca="false">-MAX(0,Y21)*Assumptions!$B$24</f>
        <v>-0</v>
      </c>
      <c r="Z22" s="14" t="n">
        <f aca="false">-MAX(0,Z21)*Assumptions!$B$24</f>
        <v>-0</v>
      </c>
      <c r="AA22" s="14" t="n">
        <f aca="false">-MAX(0,AA21)*Assumptions!$B$24</f>
        <v>-0</v>
      </c>
      <c r="AB22" s="14" t="n">
        <f aca="false">-MAX(0,AB21)*Assumptions!$B$24</f>
        <v>-0</v>
      </c>
      <c r="AC22" s="14" t="n">
        <f aca="false">-MAX(0,AC21)*Assumptions!$B$24</f>
        <v>-0</v>
      </c>
      <c r="AD22" s="14" t="n">
        <f aca="false">-MAX(0,AD21)*Assumptions!$B$24</f>
        <v>-0</v>
      </c>
      <c r="AE22" s="14" t="n">
        <f aca="false">-MAX(0,AE21)*Assumptions!$B$24</f>
        <v>-0</v>
      </c>
      <c r="AF22" s="14" t="n">
        <f aca="false">-MAX(0,AF21)*Assumptions!$B$24</f>
        <v>-0</v>
      </c>
      <c r="AG22" s="14" t="n">
        <f aca="false">-MAX(0,AG21)*Assumptions!$B$24</f>
        <v>-0</v>
      </c>
      <c r="AH22" s="14" t="n">
        <f aca="false">-MAX(0,AH21)*Assumptions!$B$24</f>
        <v>-0</v>
      </c>
      <c r="AI22" s="14" t="n">
        <f aca="false">-MAX(0,AI21)*Assumptions!$B$24</f>
        <v>-0</v>
      </c>
      <c r="AJ22" s="14" t="n">
        <f aca="false">-MAX(0,AJ21)*Assumptions!$B$24</f>
        <v>-0</v>
      </c>
      <c r="AK22" s="14" t="n">
        <f aca="false">-MAX(0,AK21)*Assumptions!$B$24</f>
        <v>-0</v>
      </c>
      <c r="AL22" s="14" t="n">
        <f aca="false">-MAX(0,AL21)*Assumptions!$B$24</f>
        <v>-0</v>
      </c>
    </row>
    <row r="23" customFormat="false" ht="15" hidden="false" customHeight="false" outlineLevel="0" collapsed="false">
      <c r="A23" s="36" t="s">
        <v>42</v>
      </c>
      <c r="C23" s="40" t="n">
        <f aca="false">C21+C22</f>
        <v>-145260.122763889</v>
      </c>
      <c r="D23" s="40" t="n">
        <f aca="false">D21+D22</f>
        <v>-143820.252034653</v>
      </c>
      <c r="E23" s="40" t="n">
        <f aca="false">E21+E22</f>
        <v>-142311.455291451</v>
      </c>
      <c r="F23" s="40" t="n">
        <f aca="false">F21+F22</f>
        <v>-140728.930442085</v>
      </c>
      <c r="G23" s="40" t="n">
        <f aca="false">G21+G22</f>
        <v>-139067.67307391</v>
      </c>
      <c r="H23" s="40" t="n">
        <f aca="false">H21+H22</f>
        <v>-137322.46599966</v>
      </c>
      <c r="I23" s="40" t="n">
        <f aca="false">I21+I22</f>
        <v>-135487.8683303</v>
      </c>
      <c r="J23" s="40" t="n">
        <f aca="false">J21+J22</f>
        <v>-133558.204051494</v>
      </c>
      <c r="K23" s="40" t="n">
        <f aca="false">K21+K22</f>
        <v>-131527.550079176</v>
      </c>
      <c r="L23" s="40" t="n">
        <f aca="false">L21+L22</f>
        <v>-129389.723768533</v>
      </c>
      <c r="M23" s="40" t="n">
        <f aca="false">M21+M22</f>
        <v>-127138.269849515</v>
      </c>
      <c r="N23" s="40" t="n">
        <f aca="false">N21+N22</f>
        <v>-124766.446760693</v>
      </c>
      <c r="O23" s="40" t="n">
        <f aca="false">O21+O22</f>
        <v>-122267.212351943</v>
      </c>
      <c r="P23" s="40" t="n">
        <f aca="false">P21+P22</f>
        <v>-119633.208925041</v>
      </c>
      <c r="Q23" s="40" t="n">
        <f aca="false">Q21+Q22</f>
        <v>-116856.747579779</v>
      </c>
      <c r="R23" s="40" t="n">
        <f aca="false">R21+R22</f>
        <v>-113929.791831638</v>
      </c>
      <c r="S23" s="40" t="n">
        <f aca="false">S21+S22</f>
        <v>-110843.940465467</v>
      </c>
      <c r="T23" s="40" t="n">
        <f aca="false">T21+T22</f>
        <v>-107590.409587899</v>
      </c>
      <c r="U23" s="40" t="n">
        <f aca="false">U21+U22</f>
        <v>-104160.013839439</v>
      </c>
      <c r="V23" s="40" t="n">
        <f aca="false">V21+V22</f>
        <v>-100543.146725292</v>
      </c>
      <c r="W23" s="40" t="n">
        <f aca="false">W21+W22</f>
        <v>-96729.7600220612</v>
      </c>
      <c r="X23" s="40" t="n">
        <f aca="false">X21+X22</f>
        <v>-92709.3422153292</v>
      </c>
      <c r="Y23" s="40" t="n">
        <f aca="false">Y21+Y22</f>
        <v>-88470.8959210311</v>
      </c>
      <c r="Z23" s="40" t="n">
        <f aca="false">Z21+Z22</f>
        <v>-84002.9142412231</v>
      </c>
      <c r="AA23" s="40" t="n">
        <f aca="false">AA21+AA22</f>
        <v>-79293.3560024879</v>
      </c>
      <c r="AB23" s="40" t="n">
        <f aca="false">AB21+AB22</f>
        <v>-74329.619822721</v>
      </c>
      <c r="AC23" s="40" t="n">
        <f aca="false">AC21+AC22</f>
        <v>-69098.5169494243</v>
      </c>
      <c r="AD23" s="40" t="n">
        <f aca="false">AD21+AD22</f>
        <v>-63586.2428098878</v>
      </c>
      <c r="AE23" s="40" t="n">
        <f aca="false">AE21+AE22</f>
        <v>-57778.3472107681</v>
      </c>
      <c r="AF23" s="40" t="n">
        <f aca="false">AF21+AF22</f>
        <v>-51659.7031215438</v>
      </c>
      <c r="AG23" s="40" t="n">
        <f aca="false">AG21+AG22</f>
        <v>-45214.4739731691</v>
      </c>
      <c r="AH23" s="40" t="n">
        <f aca="false">AH21+AH22</f>
        <v>-38426.0793999215</v>
      </c>
      <c r="AI23" s="40" t="n">
        <f aca="false">AI21+AI22</f>
        <v>-31277.159348957</v>
      </c>
      <c r="AJ23" s="40" t="n">
        <f aca="false">AJ21+AJ22</f>
        <v>-23749.5364784297</v>
      </c>
      <c r="AK23" s="40" t="n">
        <f aca="false">AK21+AK22</f>
        <v>-15824.1767612049</v>
      </c>
      <c r="AL23" s="40" t="n">
        <f aca="false">AL21+AL22</f>
        <v>-7481.14820716716</v>
      </c>
    </row>
    <row r="24" customFormat="false" ht="15" hidden="false" customHeight="false" outlineLevel="0" collapsed="false">
      <c r="A24" s="10" t="s">
        <v>153</v>
      </c>
      <c r="C24" s="41" t="n">
        <f aca="false">IF(C5&lt;&gt;0,C23/C5,0)</f>
        <v>-8.42446990151822</v>
      </c>
      <c r="D24" s="41" t="n">
        <f aca="false">IF(D5&lt;&gt;0,D23/D5,0)</f>
        <v>-5.96251817480712</v>
      </c>
      <c r="E24" s="41" t="n">
        <f aca="false">IF(E5&lt;&gt;0,E23/E5,0)</f>
        <v>-4.55263402029601</v>
      </c>
      <c r="F24" s="41" t="n">
        <f aca="false">IF(F5&lt;&gt;0,F23/F5,0)</f>
        <v>-3.63906661249461</v>
      </c>
      <c r="G24" s="41" t="n">
        <f aca="false">IF(G5&lt;&gt;0,G23/G5,0)</f>
        <v>-2.99890475379947</v>
      </c>
      <c r="H24" s="41" t="n">
        <f aca="false">IF(H5&lt;&gt;0,H23/H5,0)</f>
        <v>-2.52535344098097</v>
      </c>
      <c r="I24" s="41" t="n">
        <f aca="false">IF(I5&lt;&gt;0,I23/I5,0)</f>
        <v>-2.16083817699887</v>
      </c>
      <c r="J24" s="41" t="n">
        <f aca="false">IF(J5&lt;&gt;0,J23/J5,0)</f>
        <v>-1.8715782486892</v>
      </c>
      <c r="K24" s="41" t="n">
        <f aca="false">IF(K5&lt;&gt;0,K23/K5,0)</f>
        <v>-1.63644614684853</v>
      </c>
      <c r="L24" s="41" t="n">
        <f aca="false">IF(L5&lt;&gt;0,L23/L5,0)</f>
        <v>-1.44155042481614</v>
      </c>
      <c r="M24" s="41" t="n">
        <f aca="false">IF(M5&lt;&gt;0,M23/M5,0)</f>
        <v>-1.27738209551728</v>
      </c>
      <c r="N24" s="41" t="n">
        <f aca="false">IF(N5&lt;&gt;0,N23/N5,0)</f>
        <v>-1.13721270975323</v>
      </c>
      <c r="O24" s="41" t="n">
        <f aca="false">IF(O5&lt;&gt;0,O23/O5,0)</f>
        <v>-1.01614722046573</v>
      </c>
      <c r="P24" s="41" t="n">
        <f aca="false">IF(P5&lt;&gt;0,P23/P5,0)</f>
        <v>-0.910539297393416</v>
      </c>
      <c r="Q24" s="41" t="n">
        <f aca="false">IF(Q5&lt;&gt;0,Q23/Q5,0)</f>
        <v>-0.817616974660927</v>
      </c>
      <c r="R24" s="41" t="n">
        <f aca="false">IF(R5&lt;&gt;0,R23/R5,0)</f>
        <v>-0.735235349535606</v>
      </c>
      <c r="S24" s="41" t="n">
        <f aca="false">IF(S5&lt;&gt;0,S23/S5,0)</f>
        <v>-0.661708719385413</v>
      </c>
      <c r="T24" s="41" t="n">
        <f aca="false">IF(T5&lt;&gt;0,T23/T5,0)</f>
        <v>-0.595693899811792</v>
      </c>
      <c r="U24" s="41" t="n">
        <f aca="false">IF(U5&lt;&gt;0,U23/U5,0)</f>
        <v>-0.536107398659634</v>
      </c>
      <c r="V24" s="41" t="n">
        <f aca="false">IF(V5&lt;&gt;0,V23/V5,0)</f>
        <v>-0.482065514026506</v>
      </c>
      <c r="W24" s="41" t="n">
        <f aca="false">IF(W5&lt;&gt;0,W23/W5,0)</f>
        <v>-0.432840280619388</v>
      </c>
      <c r="X24" s="41" t="n">
        <f aca="false">IF(X5&lt;&gt;0,X23/X5,0)</f>
        <v>-0.38782657933903</v>
      </c>
      <c r="Y24" s="41" t="n">
        <f aca="false">IF(Y5&lt;&gt;0,Y23/Y5,0)</f>
        <v>-0.346517243715395</v>
      </c>
      <c r="Z24" s="41" t="n">
        <f aca="false">IF(Z5&lt;&gt;0,Z23/Z5,0)</f>
        <v>-0.30848398326858</v>
      </c>
      <c r="AA24" s="41" t="n">
        <f aca="false">IF(AA5&lt;&gt;0,AA23/AA5,0)</f>
        <v>-0.2733625975461</v>
      </c>
      <c r="AB24" s="41" t="n">
        <f aca="false">IF(AB5&lt;&gt;0,AB23/AB5,0)</f>
        <v>-0.240841395716282</v>
      </c>
      <c r="AC24" s="41" t="n">
        <f aca="false">IF(AC5&lt;&gt;0,AC23/AC5,0)</f>
        <v>-0.210652039291661</v>
      </c>
      <c r="AD24" s="41" t="n">
        <f aca="false">IF(AD5&lt;&gt;0,AD23/AD5,0)</f>
        <v>-0.182562236459713</v>
      </c>
      <c r="AE24" s="41" t="n">
        <f aca="false">IF(AE5&lt;&gt;0,AE23/AE5,0)</f>
        <v>-0.156369865531016</v>
      </c>
      <c r="AF24" s="41" t="n">
        <f aca="false">IF(AF5&lt;&gt;0,AF23/AF5,0)</f>
        <v>-0.131898211707334</v>
      </c>
      <c r="AG24" s="41" t="n">
        <f aca="false">IF(AG5&lt;&gt;0,AG23/AG5,0)</f>
        <v>-0.108992078680844</v>
      </c>
      <c r="AH24" s="41" t="n">
        <f aca="false">IF(AH5&lt;&gt;0,AH23/AH5,0)</f>
        <v>-0.0875145932252806</v>
      </c>
      <c r="AI24" s="41" t="n">
        <f aca="false">IF(AI5&lt;&gt;0,AI23/AI5,0)</f>
        <v>-0.067344562887552</v>
      </c>
      <c r="AJ24" s="41" t="n">
        <f aca="false">IF(AJ5&lt;&gt;0,AJ23/AJ5,0)</f>
        <v>-0.0483742782548027</v>
      </c>
      <c r="AK24" s="41" t="n">
        <f aca="false">IF(AK5&lt;&gt;0,AK23/AK5,0)</f>
        <v>-0.0305076749420201</v>
      </c>
      <c r="AL24" s="41" t="n">
        <f aca="false">IF(AL5&lt;&gt;0,AL23/AL5,0)</f>
        <v>-0.013658788461516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8" min="3" style="0" width="11"/>
  </cols>
  <sheetData>
    <row r="1" customFormat="false" ht="17.35" hidden="false" customHeight="false" outlineLevel="0" collapsed="false">
      <c r="A1" s="4" t="s">
        <v>154</v>
      </c>
    </row>
    <row r="2" customFormat="false" ht="15" hidden="false" customHeight="false" outlineLevel="0" collapsed="false">
      <c r="A2" s="5" t="s">
        <v>121</v>
      </c>
      <c r="B2" s="6" t="n">
        <v>0</v>
      </c>
      <c r="C2" s="6" t="n">
        <f aca="false">B2+1</f>
        <v>1</v>
      </c>
      <c r="D2" s="6" t="n">
        <f aca="false">C2+1</f>
        <v>2</v>
      </c>
      <c r="E2" s="6" t="n">
        <f aca="false">D2+1</f>
        <v>3</v>
      </c>
      <c r="F2" s="6" t="n">
        <f aca="false">E2+1</f>
        <v>4</v>
      </c>
      <c r="G2" s="6" t="n">
        <f aca="false">F2+1</f>
        <v>5</v>
      </c>
      <c r="H2" s="6" t="n">
        <f aca="false">G2+1</f>
        <v>6</v>
      </c>
      <c r="I2" s="6" t="n">
        <f aca="false">H2+1</f>
        <v>7</v>
      </c>
      <c r="J2" s="6" t="n">
        <f aca="false">I2+1</f>
        <v>8</v>
      </c>
      <c r="K2" s="6" t="n">
        <f aca="false">J2+1</f>
        <v>9</v>
      </c>
      <c r="L2" s="6" t="n">
        <f aca="false">K2+1</f>
        <v>10</v>
      </c>
      <c r="M2" s="6" t="n">
        <f aca="false">L2+1</f>
        <v>11</v>
      </c>
      <c r="N2" s="6" t="n">
        <f aca="false">M2+1</f>
        <v>12</v>
      </c>
      <c r="O2" s="6" t="n">
        <f aca="false">N2+1</f>
        <v>13</v>
      </c>
      <c r="P2" s="6" t="n">
        <f aca="false">O2+1</f>
        <v>14</v>
      </c>
      <c r="Q2" s="6" t="n">
        <f aca="false">P2+1</f>
        <v>15</v>
      </c>
      <c r="R2" s="6" t="n">
        <f aca="false">Q2+1</f>
        <v>16</v>
      </c>
      <c r="S2" s="6" t="n">
        <f aca="false">R2+1</f>
        <v>17</v>
      </c>
      <c r="T2" s="6" t="n">
        <f aca="false">S2+1</f>
        <v>18</v>
      </c>
      <c r="U2" s="6" t="n">
        <f aca="false">T2+1</f>
        <v>19</v>
      </c>
      <c r="V2" s="6" t="n">
        <f aca="false">U2+1</f>
        <v>20</v>
      </c>
      <c r="W2" s="6" t="n">
        <f aca="false">V2+1</f>
        <v>21</v>
      </c>
      <c r="X2" s="6" t="n">
        <f aca="false">W2+1</f>
        <v>22</v>
      </c>
      <c r="Y2" s="6" t="n">
        <f aca="false">X2+1</f>
        <v>23</v>
      </c>
      <c r="Z2" s="6" t="n">
        <f aca="false">Y2+1</f>
        <v>24</v>
      </c>
      <c r="AA2" s="6" t="n">
        <f aca="false">Z2+1</f>
        <v>25</v>
      </c>
      <c r="AB2" s="6" t="n">
        <f aca="false">AA2+1</f>
        <v>26</v>
      </c>
      <c r="AC2" s="6" t="n">
        <f aca="false">AB2+1</f>
        <v>27</v>
      </c>
      <c r="AD2" s="6" t="n">
        <f aca="false">AC2+1</f>
        <v>28</v>
      </c>
      <c r="AE2" s="6" t="n">
        <f aca="false">AD2+1</f>
        <v>29</v>
      </c>
      <c r="AF2" s="6" t="n">
        <f aca="false">AE2+1</f>
        <v>30</v>
      </c>
      <c r="AG2" s="6" t="n">
        <f aca="false">AF2+1</f>
        <v>31</v>
      </c>
      <c r="AH2" s="6" t="n">
        <f aca="false">AG2+1</f>
        <v>32</v>
      </c>
      <c r="AI2" s="6" t="n">
        <f aca="false">AH2+1</f>
        <v>33</v>
      </c>
      <c r="AJ2" s="6" t="n">
        <f aca="false">AI2+1</f>
        <v>34</v>
      </c>
      <c r="AK2" s="6" t="n">
        <f aca="false">AJ2+1</f>
        <v>35</v>
      </c>
      <c r="AL2" s="6" t="n">
        <f aca="false">AK2+1</f>
        <v>36</v>
      </c>
    </row>
    <row r="3" customFormat="false" ht="15" hidden="false" customHeight="false" outlineLevel="0" collapsed="false">
      <c r="A3" s="5" t="s">
        <v>122</v>
      </c>
      <c r="B3" s="33"/>
      <c r="C3" s="34" t="n">
        <f aca="false">ROUNDUP(C2/12,0)</f>
        <v>1</v>
      </c>
      <c r="D3" s="34" t="n">
        <f aca="false">ROUNDUP(D2/12,0)</f>
        <v>1</v>
      </c>
      <c r="E3" s="34" t="n">
        <f aca="false">ROUNDUP(E2/12,0)</f>
        <v>1</v>
      </c>
      <c r="F3" s="34" t="n">
        <f aca="false">ROUNDUP(F2/12,0)</f>
        <v>1</v>
      </c>
      <c r="G3" s="34" t="n">
        <f aca="false">ROUNDUP(G2/12,0)</f>
        <v>1</v>
      </c>
      <c r="H3" s="34" t="n">
        <f aca="false">ROUNDUP(H2/12,0)</f>
        <v>1</v>
      </c>
      <c r="I3" s="34" t="n">
        <f aca="false">ROUNDUP(I2/12,0)</f>
        <v>1</v>
      </c>
      <c r="J3" s="34" t="n">
        <f aca="false">ROUNDUP(J2/12,0)</f>
        <v>1</v>
      </c>
      <c r="K3" s="34" t="n">
        <f aca="false">ROUNDUP(K2/12,0)</f>
        <v>1</v>
      </c>
      <c r="L3" s="34" t="n">
        <f aca="false">ROUNDUP(L2/12,0)</f>
        <v>1</v>
      </c>
      <c r="M3" s="34" t="n">
        <f aca="false">ROUNDUP(M2/12,0)</f>
        <v>1</v>
      </c>
      <c r="N3" s="34" t="n">
        <f aca="false">ROUNDUP(N2/12,0)</f>
        <v>1</v>
      </c>
      <c r="O3" s="34" t="n">
        <f aca="false">ROUNDUP(O2/12,0)</f>
        <v>2</v>
      </c>
      <c r="P3" s="34" t="n">
        <f aca="false">ROUNDUP(P2/12,0)</f>
        <v>2</v>
      </c>
      <c r="Q3" s="34" t="n">
        <f aca="false">ROUNDUP(Q2/12,0)</f>
        <v>2</v>
      </c>
      <c r="R3" s="34" t="n">
        <f aca="false">ROUNDUP(R2/12,0)</f>
        <v>2</v>
      </c>
      <c r="S3" s="34" t="n">
        <f aca="false">ROUNDUP(S2/12,0)</f>
        <v>2</v>
      </c>
      <c r="T3" s="34" t="n">
        <f aca="false">ROUNDUP(T2/12,0)</f>
        <v>2</v>
      </c>
      <c r="U3" s="34" t="n">
        <f aca="false">ROUNDUP(U2/12,0)</f>
        <v>2</v>
      </c>
      <c r="V3" s="34" t="n">
        <f aca="false">ROUNDUP(V2/12,0)</f>
        <v>2</v>
      </c>
      <c r="W3" s="34" t="n">
        <f aca="false">ROUNDUP(W2/12,0)</f>
        <v>2</v>
      </c>
      <c r="X3" s="34" t="n">
        <f aca="false">ROUNDUP(X2/12,0)</f>
        <v>2</v>
      </c>
      <c r="Y3" s="34" t="n">
        <f aca="false">ROUNDUP(Y2/12,0)</f>
        <v>2</v>
      </c>
      <c r="Z3" s="34" t="n">
        <f aca="false">ROUNDUP(Z2/12,0)</f>
        <v>2</v>
      </c>
      <c r="AA3" s="34" t="n">
        <f aca="false">ROUNDUP(AA2/12,0)</f>
        <v>3</v>
      </c>
      <c r="AB3" s="34" t="n">
        <f aca="false">ROUNDUP(AB2/12,0)</f>
        <v>3</v>
      </c>
      <c r="AC3" s="34" t="n">
        <f aca="false">ROUNDUP(AC2/12,0)</f>
        <v>3</v>
      </c>
      <c r="AD3" s="34" t="n">
        <f aca="false">ROUNDUP(AD2/12,0)</f>
        <v>3</v>
      </c>
      <c r="AE3" s="34" t="n">
        <f aca="false">ROUNDUP(AE2/12,0)</f>
        <v>3</v>
      </c>
      <c r="AF3" s="34" t="n">
        <f aca="false">ROUNDUP(AF2/12,0)</f>
        <v>3</v>
      </c>
      <c r="AG3" s="34" t="n">
        <f aca="false">ROUNDUP(AG2/12,0)</f>
        <v>3</v>
      </c>
      <c r="AH3" s="34" t="n">
        <f aca="false">ROUNDUP(AH2/12,0)</f>
        <v>3</v>
      </c>
      <c r="AI3" s="34" t="n">
        <f aca="false">ROUNDUP(AI2/12,0)</f>
        <v>3</v>
      </c>
      <c r="AJ3" s="34" t="n">
        <f aca="false">ROUNDUP(AJ2/12,0)</f>
        <v>3</v>
      </c>
      <c r="AK3" s="34" t="n">
        <f aca="false">ROUNDUP(AK2/12,0)</f>
        <v>3</v>
      </c>
      <c r="AL3" s="34" t="n">
        <f aca="false">ROUNDUP(AL2/12,0)</f>
        <v>3</v>
      </c>
    </row>
    <row r="5" customFormat="false" ht="15" hidden="false" customHeight="false" outlineLevel="0" collapsed="false">
      <c r="A5" s="8" t="s">
        <v>155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customFormat="false" ht="15" hidden="false" customHeight="false" outlineLevel="0" collapsed="false">
      <c r="A6" s="10" t="s">
        <v>42</v>
      </c>
      <c r="C6" s="14" t="n">
        <f aca="false">'Income Statement'!C23</f>
        <v>-145260.122763889</v>
      </c>
      <c r="D6" s="14" t="n">
        <f aca="false">'Income Statement'!D23</f>
        <v>-143820.252034653</v>
      </c>
      <c r="E6" s="14" t="n">
        <f aca="false">'Income Statement'!E23</f>
        <v>-142311.455291451</v>
      </c>
      <c r="F6" s="14" t="n">
        <f aca="false">'Income Statement'!F23</f>
        <v>-140728.930442085</v>
      </c>
      <c r="G6" s="14" t="n">
        <f aca="false">'Income Statement'!G23</f>
        <v>-139067.67307391</v>
      </c>
      <c r="H6" s="14" t="n">
        <f aca="false">'Income Statement'!H23</f>
        <v>-137322.46599966</v>
      </c>
      <c r="I6" s="14" t="n">
        <f aca="false">'Income Statement'!I23</f>
        <v>-135487.8683303</v>
      </c>
      <c r="J6" s="14" t="n">
        <f aca="false">'Income Statement'!J23</f>
        <v>-133558.204051494</v>
      </c>
      <c r="K6" s="14" t="n">
        <f aca="false">'Income Statement'!K23</f>
        <v>-131527.550079176</v>
      </c>
      <c r="L6" s="14" t="n">
        <f aca="false">'Income Statement'!L23</f>
        <v>-129389.723768533</v>
      </c>
      <c r="M6" s="14" t="n">
        <f aca="false">'Income Statement'!M23</f>
        <v>-127138.269849515</v>
      </c>
      <c r="N6" s="14" t="n">
        <f aca="false">'Income Statement'!N23</f>
        <v>-124766.446760693</v>
      </c>
      <c r="O6" s="14" t="n">
        <f aca="false">'Income Statement'!O23</f>
        <v>-122267.212351943</v>
      </c>
      <c r="P6" s="14" t="n">
        <f aca="false">'Income Statement'!P23</f>
        <v>-119633.208925041</v>
      </c>
      <c r="Q6" s="14" t="n">
        <f aca="false">'Income Statement'!Q23</f>
        <v>-116856.747579779</v>
      </c>
      <c r="R6" s="14" t="n">
        <f aca="false">'Income Statement'!R23</f>
        <v>-113929.791831638</v>
      </c>
      <c r="S6" s="14" t="n">
        <f aca="false">'Income Statement'!S23</f>
        <v>-110843.940465467</v>
      </c>
      <c r="T6" s="14" t="n">
        <f aca="false">'Income Statement'!T23</f>
        <v>-107590.409587899</v>
      </c>
      <c r="U6" s="14" t="n">
        <f aca="false">'Income Statement'!U23</f>
        <v>-104160.013839439</v>
      </c>
      <c r="V6" s="14" t="n">
        <f aca="false">'Income Statement'!V23</f>
        <v>-100543.146725292</v>
      </c>
      <c r="W6" s="14" t="n">
        <f aca="false">'Income Statement'!W23</f>
        <v>-96729.7600220612</v>
      </c>
      <c r="X6" s="14" t="n">
        <f aca="false">'Income Statement'!X23</f>
        <v>-92709.3422153292</v>
      </c>
      <c r="Y6" s="14" t="n">
        <f aca="false">'Income Statement'!Y23</f>
        <v>-88470.8959210311</v>
      </c>
      <c r="Z6" s="14" t="n">
        <f aca="false">'Income Statement'!Z23</f>
        <v>-84002.9142412231</v>
      </c>
      <c r="AA6" s="14" t="n">
        <f aca="false">'Income Statement'!AA23</f>
        <v>-79293.3560024879</v>
      </c>
      <c r="AB6" s="14" t="n">
        <f aca="false">'Income Statement'!AB23</f>
        <v>-74329.619822721</v>
      </c>
      <c r="AC6" s="14" t="n">
        <f aca="false">'Income Statement'!AC23</f>
        <v>-69098.5169494243</v>
      </c>
      <c r="AD6" s="14" t="n">
        <f aca="false">'Income Statement'!AD23</f>
        <v>-63586.2428098878</v>
      </c>
      <c r="AE6" s="14" t="n">
        <f aca="false">'Income Statement'!AE23</f>
        <v>-57778.3472107681</v>
      </c>
      <c r="AF6" s="14" t="n">
        <f aca="false">'Income Statement'!AF23</f>
        <v>-51659.7031215438</v>
      </c>
      <c r="AG6" s="14" t="n">
        <f aca="false">'Income Statement'!AG23</f>
        <v>-45214.4739731691</v>
      </c>
      <c r="AH6" s="14" t="n">
        <f aca="false">'Income Statement'!AH23</f>
        <v>-38426.0793999215</v>
      </c>
      <c r="AI6" s="14" t="n">
        <f aca="false">'Income Statement'!AI23</f>
        <v>-31277.159348957</v>
      </c>
      <c r="AJ6" s="14" t="n">
        <f aca="false">'Income Statement'!AJ23</f>
        <v>-23749.5364784297</v>
      </c>
      <c r="AK6" s="14" t="n">
        <f aca="false">'Income Statement'!AK23</f>
        <v>-15824.1767612049</v>
      </c>
      <c r="AL6" s="14" t="n">
        <f aca="false">'Income Statement'!AL23</f>
        <v>-7481.14820716716</v>
      </c>
    </row>
    <row r="7" customFormat="false" ht="15" hidden="false" customHeight="false" outlineLevel="0" collapsed="false">
      <c r="A7" s="10" t="s">
        <v>156</v>
      </c>
      <c r="C7" s="14" t="n">
        <f aca="false">-'Income Statement'!C20</f>
        <v>138.888888888889</v>
      </c>
      <c r="D7" s="14" t="n">
        <f aca="false">-'Income Statement'!D20</f>
        <v>277.777777777778</v>
      </c>
      <c r="E7" s="14" t="n">
        <f aca="false">-'Income Statement'!E20</f>
        <v>416.666666666667</v>
      </c>
      <c r="F7" s="14" t="n">
        <f aca="false">-'Income Statement'!F20</f>
        <v>555.555555555556</v>
      </c>
      <c r="G7" s="14" t="n">
        <f aca="false">-'Income Statement'!G20</f>
        <v>694.444444444445</v>
      </c>
      <c r="H7" s="14" t="n">
        <f aca="false">-'Income Statement'!H20</f>
        <v>833.333333333333</v>
      </c>
      <c r="I7" s="14" t="n">
        <f aca="false">-'Income Statement'!I20</f>
        <v>972.222222222222</v>
      </c>
      <c r="J7" s="14" t="n">
        <f aca="false">-'Income Statement'!J20</f>
        <v>1111.11111111111</v>
      </c>
      <c r="K7" s="14" t="n">
        <f aca="false">-'Income Statement'!K20</f>
        <v>1250</v>
      </c>
      <c r="L7" s="14" t="n">
        <f aca="false">-'Income Statement'!L20</f>
        <v>1388.88888888889</v>
      </c>
      <c r="M7" s="14" t="n">
        <f aca="false">-'Income Statement'!M20</f>
        <v>1527.77777777778</v>
      </c>
      <c r="N7" s="14" t="n">
        <f aca="false">-'Income Statement'!N20</f>
        <v>1666.66666666667</v>
      </c>
      <c r="O7" s="14" t="n">
        <f aca="false">-'Income Statement'!O20</f>
        <v>1805.55555555556</v>
      </c>
      <c r="P7" s="14" t="n">
        <f aca="false">-'Income Statement'!P20</f>
        <v>1944.44444444444</v>
      </c>
      <c r="Q7" s="14" t="n">
        <f aca="false">-'Income Statement'!Q20</f>
        <v>2083.33333333333</v>
      </c>
      <c r="R7" s="14" t="n">
        <f aca="false">-'Income Statement'!R20</f>
        <v>2222.22222222222</v>
      </c>
      <c r="S7" s="14" t="n">
        <f aca="false">-'Income Statement'!S20</f>
        <v>2361.11111111111</v>
      </c>
      <c r="T7" s="14" t="n">
        <f aca="false">-'Income Statement'!T20</f>
        <v>2500</v>
      </c>
      <c r="U7" s="14" t="n">
        <f aca="false">-'Income Statement'!U20</f>
        <v>2638.88888888889</v>
      </c>
      <c r="V7" s="14" t="n">
        <f aca="false">-'Income Statement'!V20</f>
        <v>2777.77777777778</v>
      </c>
      <c r="W7" s="14" t="n">
        <f aca="false">-'Income Statement'!W20</f>
        <v>2916.66666666667</v>
      </c>
      <c r="X7" s="14" t="n">
        <f aca="false">-'Income Statement'!X20</f>
        <v>3055.55555555556</v>
      </c>
      <c r="Y7" s="14" t="n">
        <f aca="false">-'Income Statement'!Y20</f>
        <v>3194.44444444444</v>
      </c>
      <c r="Z7" s="14" t="n">
        <f aca="false">-'Income Statement'!Z20</f>
        <v>3333.33333333333</v>
      </c>
      <c r="AA7" s="14" t="n">
        <f aca="false">-'Income Statement'!AA20</f>
        <v>3472.22222222222</v>
      </c>
      <c r="AB7" s="14" t="n">
        <f aca="false">-'Income Statement'!AB20</f>
        <v>3611.11111111111</v>
      </c>
      <c r="AC7" s="14" t="n">
        <f aca="false">-'Income Statement'!AC20</f>
        <v>3750</v>
      </c>
      <c r="AD7" s="14" t="n">
        <f aca="false">-'Income Statement'!AD20</f>
        <v>3888.88888888889</v>
      </c>
      <c r="AE7" s="14" t="n">
        <f aca="false">-'Income Statement'!AE20</f>
        <v>4027.77777777778</v>
      </c>
      <c r="AF7" s="14" t="n">
        <f aca="false">-'Income Statement'!AF20</f>
        <v>4166.66666666667</v>
      </c>
      <c r="AG7" s="14" t="n">
        <f aca="false">-'Income Statement'!AG20</f>
        <v>4305.55555555556</v>
      </c>
      <c r="AH7" s="14" t="n">
        <f aca="false">-'Income Statement'!AH20</f>
        <v>4444.44444444444</v>
      </c>
      <c r="AI7" s="14" t="n">
        <f aca="false">-'Income Statement'!AI20</f>
        <v>4583.33333333333</v>
      </c>
      <c r="AJ7" s="14" t="n">
        <f aca="false">-'Income Statement'!AJ20</f>
        <v>4722.22222222222</v>
      </c>
      <c r="AK7" s="14" t="n">
        <f aca="false">-'Income Statement'!AK20</f>
        <v>4861.11111111111</v>
      </c>
      <c r="AL7" s="14" t="n">
        <f aca="false">-'Income Statement'!AL20</f>
        <v>5000</v>
      </c>
    </row>
    <row r="8" customFormat="false" ht="15" hidden="false" customHeight="false" outlineLevel="0" collapsed="false">
      <c r="A8" s="10" t="s">
        <v>157</v>
      </c>
      <c r="C8" s="39" t="n">
        <f aca="false">B20-C20</f>
        <v>-3375.6425</v>
      </c>
      <c r="D8" s="39" t="n">
        <f aca="false">C20-D20</f>
        <v>-6878.08096249999</v>
      </c>
      <c r="E8" s="39" t="n">
        <f aca="false">D20-E20</f>
        <v>-7138.42336481251</v>
      </c>
      <c r="F8" s="39" t="n">
        <f aca="false">E20-F20</f>
        <v>-7412.56364891156</v>
      </c>
      <c r="G8" s="39" t="n">
        <f aca="false">F20-G20</f>
        <v>-7701.11043371587</v>
      </c>
      <c r="H8" s="39" t="n">
        <f aca="false">G20-H20</f>
        <v>-8004.70255715838</v>
      </c>
      <c r="I8" s="39" t="n">
        <f aca="false">H20-I20</f>
        <v>-8324.01048972753</v>
      </c>
      <c r="J8" s="39" t="n">
        <f aca="false">I20-J20</f>
        <v>-8659.73781742913</v>
      </c>
      <c r="K8" s="39" t="n">
        <f aca="false">J20-K20</f>
        <v>-9012.62279751067</v>
      </c>
      <c r="L8" s="39" t="n">
        <f aca="false">K20-L20</f>
        <v>-9383.4399904543</v>
      </c>
      <c r="M8" s="39" t="n">
        <f aca="false">L20-M20</f>
        <v>-9773.00197191663</v>
      </c>
      <c r="N8" s="39" t="n">
        <f aca="false">M20-N20</f>
        <v>-10182.1611284752</v>
      </c>
      <c r="O8" s="39" t="n">
        <f aca="false">N20-O20</f>
        <v>-10611.8115412292</v>
      </c>
      <c r="P8" s="39" t="n">
        <f aca="false">O20-P20</f>
        <v>-11062.8909615038</v>
      </c>
      <c r="Q8" s="39" t="n">
        <f aca="false">P20-Q20</f>
        <v>-11536.3828831124</v>
      </c>
      <c r="R8" s="39" t="n">
        <f aca="false">Q20-R20</f>
        <v>-12033.3187158535</v>
      </c>
      <c r="S8" s="39" t="n">
        <f aca="false">R20-S20</f>
        <v>-12554.7800651462</v>
      </c>
      <c r="T8" s="39" t="n">
        <f aca="false">S20-T20</f>
        <v>-13101.9011229493</v>
      </c>
      <c r="U8" s="39" t="n">
        <f aca="false">T20-U20</f>
        <v>-13675.871175363</v>
      </c>
      <c r="V8" s="39" t="n">
        <f aca="false">U20-V20</f>
        <v>-14277.9372325758</v>
      </c>
      <c r="W8" s="39" t="n">
        <f aca="false">V20-W20</f>
        <v>-14909.4067870971</v>
      </c>
      <c r="X8" s="39" t="n">
        <f aca="false">W20-X20</f>
        <v>-15571.6507065098</v>
      </c>
      <c r="Y8" s="39" t="n">
        <f aca="false">X20-Y20</f>
        <v>-16266.106267279</v>
      </c>
      <c r="Z8" s="39" t="n">
        <f aca="false">Y20-Z20</f>
        <v>-16994.2803364799</v>
      </c>
      <c r="AA8" s="39" t="n">
        <f aca="false">Z20-AA20</f>
        <v>-17757.7527086377</v>
      </c>
      <c r="AB8" s="39" t="n">
        <f aca="false">AA20-AB20</f>
        <v>-18558.179605232</v>
      </c>
      <c r="AC8" s="39" t="n">
        <f aca="false">AB20-AC20</f>
        <v>-19397.2973447844</v>
      </c>
      <c r="AD8" s="39" t="n">
        <f aca="false">AC20-AD20</f>
        <v>-20276.9261918394</v>
      </c>
      <c r="AE8" s="39" t="n">
        <f aca="false">AD20-AE20</f>
        <v>-21198.9743935558</v>
      </c>
      <c r="AF8" s="39" t="n">
        <f aca="false">AE20-AF20</f>
        <v>-22165.442413053</v>
      </c>
      <c r="AG8" s="39" t="n">
        <f aca="false">AF20-AG20</f>
        <v>-23178.4273691074</v>
      </c>
      <c r="AH8" s="39" t="n">
        <f aca="false">AG20-AH20</f>
        <v>-24240.1276922652</v>
      </c>
      <c r="AI8" s="39" t="n">
        <f aca="false">AH20-AI20</f>
        <v>-25352.8480079289</v>
      </c>
      <c r="AJ8" s="39" t="n">
        <f aca="false">AI20-AJ20</f>
        <v>-26519.0042574998</v>
      </c>
      <c r="AK8" s="39" t="n">
        <f aca="false">AJ20-AK20</f>
        <v>-27741.1290691959</v>
      </c>
      <c r="AL8" s="39" t="n">
        <f aca="false">AK20-AL20</f>
        <v>-29021.877390742</v>
      </c>
    </row>
    <row r="9" customFormat="false" ht="15" hidden="false" customHeight="false" outlineLevel="0" collapsed="false">
      <c r="A9" s="36" t="s">
        <v>158</v>
      </c>
      <c r="C9" s="40" t="n">
        <f aca="false">SUM(C6:C8)</f>
        <v>-148496.876375</v>
      </c>
      <c r="D9" s="40" t="n">
        <f aca="false">SUM(D6:D8)</f>
        <v>-150420.555219375</v>
      </c>
      <c r="E9" s="40" t="n">
        <f aca="false">SUM(E6:E8)</f>
        <v>-149033.211989597</v>
      </c>
      <c r="F9" s="40" t="n">
        <f aca="false">SUM(F6:F8)</f>
        <v>-147585.938535441</v>
      </c>
      <c r="G9" s="40" t="n">
        <f aca="false">SUM(G6:G8)</f>
        <v>-146074.339063182</v>
      </c>
      <c r="H9" s="40" t="n">
        <f aca="false">SUM(H6:H8)</f>
        <v>-144493.835223485</v>
      </c>
      <c r="I9" s="40" t="n">
        <f aca="false">SUM(I6:I8)</f>
        <v>-142839.656597805</v>
      </c>
      <c r="J9" s="40" t="n">
        <f aca="false">SUM(J6:J8)</f>
        <v>-141106.830757812</v>
      </c>
      <c r="K9" s="40" t="n">
        <f aca="false">SUM(K6:K8)</f>
        <v>-139290.172876687</v>
      </c>
      <c r="L9" s="40" t="n">
        <f aca="false">SUM(L6:L8)</f>
        <v>-137384.274870098</v>
      </c>
      <c r="M9" s="40" t="n">
        <f aca="false">SUM(M6:M8)</f>
        <v>-135383.494043654</v>
      </c>
      <c r="N9" s="40" t="n">
        <f aca="false">SUM(N6:N8)</f>
        <v>-133281.941222502</v>
      </c>
      <c r="O9" s="40" t="n">
        <f aca="false">SUM(O6:O8)</f>
        <v>-131073.468337616</v>
      </c>
      <c r="P9" s="40" t="n">
        <f aca="false">SUM(P6:P8)</f>
        <v>-128751.655442101</v>
      </c>
      <c r="Q9" s="40" t="n">
        <f aca="false">SUM(Q6:Q8)</f>
        <v>-126309.797129558</v>
      </c>
      <c r="R9" s="40" t="n">
        <f aca="false">SUM(R6:R8)</f>
        <v>-123740.888325269</v>
      </c>
      <c r="S9" s="40" t="n">
        <f aca="false">SUM(S6:S8)</f>
        <v>-121037.609419502</v>
      </c>
      <c r="T9" s="40" t="n">
        <f aca="false">SUM(T6:T8)</f>
        <v>-118192.310710849</v>
      </c>
      <c r="U9" s="40" t="n">
        <f aca="false">SUM(U6:U8)</f>
        <v>-115196.996125913</v>
      </c>
      <c r="V9" s="40" t="n">
        <f aca="false">SUM(V6:V8)</f>
        <v>-112043.30618009</v>
      </c>
      <c r="W9" s="40" t="n">
        <f aca="false">SUM(W6:W8)</f>
        <v>-108722.500142492</v>
      </c>
      <c r="X9" s="40" t="n">
        <f aca="false">SUM(X6:X8)</f>
        <v>-105225.437366283</v>
      </c>
      <c r="Y9" s="40" t="n">
        <f aca="false">SUM(Y6:Y8)</f>
        <v>-101542.557743866</v>
      </c>
      <c r="Z9" s="40" t="n">
        <f aca="false">SUM(Z6:Z8)</f>
        <v>-97663.8612443697</v>
      </c>
      <c r="AA9" s="40" t="n">
        <f aca="false">SUM(AA6:AA8)</f>
        <v>-93578.8864889034</v>
      </c>
      <c r="AB9" s="40" t="n">
        <f aca="false">SUM(AB6:AB8)</f>
        <v>-89276.688316842</v>
      </c>
      <c r="AC9" s="40" t="n">
        <f aca="false">SUM(AC6:AC8)</f>
        <v>-84745.8142942087</v>
      </c>
      <c r="AD9" s="40" t="n">
        <f aca="false">SUM(AD6:AD8)</f>
        <v>-79974.2801128383</v>
      </c>
      <c r="AE9" s="40" t="n">
        <f aca="false">SUM(AE6:AE8)</f>
        <v>-74949.5438265462</v>
      </c>
      <c r="AF9" s="40" t="n">
        <f aca="false">SUM(AF6:AF8)</f>
        <v>-69658.4788679301</v>
      </c>
      <c r="AG9" s="40" t="n">
        <f aca="false">SUM(AG6:AG8)</f>
        <v>-64087.3457867209</v>
      </c>
      <c r="AH9" s="40" t="n">
        <f aca="false">SUM(AH6:AH8)</f>
        <v>-58221.7626477423</v>
      </c>
      <c r="AI9" s="40" t="n">
        <f aca="false">SUM(AI6:AI8)</f>
        <v>-52046.6740235526</v>
      </c>
      <c r="AJ9" s="40" t="n">
        <f aca="false">SUM(AJ6:AJ8)</f>
        <v>-45546.3185137073</v>
      </c>
      <c r="AK9" s="40" t="n">
        <f aca="false">SUM(AK6:AK8)</f>
        <v>-38704.1947192897</v>
      </c>
      <c r="AL9" s="40" t="n">
        <f aca="false">SUM(AL6:AL8)</f>
        <v>-31503.0255979091</v>
      </c>
    </row>
    <row r="10" customFormat="false" ht="15" hidden="false" customHeight="false" outlineLevel="0" collapsed="false">
      <c r="A10" s="8" t="s">
        <v>159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 customFormat="false" ht="15" hidden="false" customHeight="false" outlineLevel="0" collapsed="false">
      <c r="A11" s="10" t="s">
        <v>160</v>
      </c>
      <c r="C11" s="14" t="n">
        <f aca="false">-Assumptions!$B$22</f>
        <v>-5000</v>
      </c>
      <c r="D11" s="14" t="n">
        <f aca="false">-Assumptions!$B$22</f>
        <v>-5000</v>
      </c>
      <c r="E11" s="14" t="n">
        <f aca="false">-Assumptions!$B$22</f>
        <v>-5000</v>
      </c>
      <c r="F11" s="14" t="n">
        <f aca="false">-Assumptions!$B$22</f>
        <v>-5000</v>
      </c>
      <c r="G11" s="14" t="n">
        <f aca="false">-Assumptions!$B$22</f>
        <v>-5000</v>
      </c>
      <c r="H11" s="14" t="n">
        <f aca="false">-Assumptions!$B$22</f>
        <v>-5000</v>
      </c>
      <c r="I11" s="14" t="n">
        <f aca="false">-Assumptions!$B$22</f>
        <v>-5000</v>
      </c>
      <c r="J11" s="14" t="n">
        <f aca="false">-Assumptions!$B$22</f>
        <v>-5000</v>
      </c>
      <c r="K11" s="14" t="n">
        <f aca="false">-Assumptions!$B$22</f>
        <v>-5000</v>
      </c>
      <c r="L11" s="14" t="n">
        <f aca="false">-Assumptions!$B$22</f>
        <v>-5000</v>
      </c>
      <c r="M11" s="14" t="n">
        <f aca="false">-Assumptions!$B$22</f>
        <v>-5000</v>
      </c>
      <c r="N11" s="14" t="n">
        <f aca="false">-Assumptions!$B$22</f>
        <v>-5000</v>
      </c>
      <c r="O11" s="14" t="n">
        <f aca="false">-Assumptions!$B$22</f>
        <v>-5000</v>
      </c>
      <c r="P11" s="14" t="n">
        <f aca="false">-Assumptions!$B$22</f>
        <v>-5000</v>
      </c>
      <c r="Q11" s="14" t="n">
        <f aca="false">-Assumptions!$B$22</f>
        <v>-5000</v>
      </c>
      <c r="R11" s="14" t="n">
        <f aca="false">-Assumptions!$B$22</f>
        <v>-5000</v>
      </c>
      <c r="S11" s="14" t="n">
        <f aca="false">-Assumptions!$B$22</f>
        <v>-5000</v>
      </c>
      <c r="T11" s="14" t="n">
        <f aca="false">-Assumptions!$B$22</f>
        <v>-5000</v>
      </c>
      <c r="U11" s="14" t="n">
        <f aca="false">-Assumptions!$B$22</f>
        <v>-5000</v>
      </c>
      <c r="V11" s="14" t="n">
        <f aca="false">-Assumptions!$B$22</f>
        <v>-5000</v>
      </c>
      <c r="W11" s="14" t="n">
        <f aca="false">-Assumptions!$B$22</f>
        <v>-5000</v>
      </c>
      <c r="X11" s="14" t="n">
        <f aca="false">-Assumptions!$B$22</f>
        <v>-5000</v>
      </c>
      <c r="Y11" s="14" t="n">
        <f aca="false">-Assumptions!$B$22</f>
        <v>-5000</v>
      </c>
      <c r="Z11" s="14" t="n">
        <f aca="false">-Assumptions!$B$22</f>
        <v>-5000</v>
      </c>
      <c r="AA11" s="14" t="n">
        <f aca="false">-Assumptions!$B$22</f>
        <v>-5000</v>
      </c>
      <c r="AB11" s="14" t="n">
        <f aca="false">-Assumptions!$B$22</f>
        <v>-5000</v>
      </c>
      <c r="AC11" s="14" t="n">
        <f aca="false">-Assumptions!$B$22</f>
        <v>-5000</v>
      </c>
      <c r="AD11" s="14" t="n">
        <f aca="false">-Assumptions!$B$22</f>
        <v>-5000</v>
      </c>
      <c r="AE11" s="14" t="n">
        <f aca="false">-Assumptions!$B$22</f>
        <v>-5000</v>
      </c>
      <c r="AF11" s="14" t="n">
        <f aca="false">-Assumptions!$B$22</f>
        <v>-5000</v>
      </c>
      <c r="AG11" s="14" t="n">
        <f aca="false">-Assumptions!$B$22</f>
        <v>-5000</v>
      </c>
      <c r="AH11" s="14" t="n">
        <f aca="false">-Assumptions!$B$22</f>
        <v>-5000</v>
      </c>
      <c r="AI11" s="14" t="n">
        <f aca="false">-Assumptions!$B$22</f>
        <v>-5000</v>
      </c>
      <c r="AJ11" s="14" t="n">
        <f aca="false">-Assumptions!$B$22</f>
        <v>-5000</v>
      </c>
      <c r="AK11" s="14" t="n">
        <f aca="false">-Assumptions!$B$22</f>
        <v>-5000</v>
      </c>
      <c r="AL11" s="14" t="n">
        <f aca="false">-Assumptions!$B$22</f>
        <v>-5000</v>
      </c>
    </row>
    <row r="12" customFormat="false" ht="15" hidden="false" customHeight="false" outlineLevel="0" collapsed="false">
      <c r="A12" s="36" t="s">
        <v>161</v>
      </c>
      <c r="C12" s="40" t="n">
        <f aca="false">C11</f>
        <v>-5000</v>
      </c>
      <c r="D12" s="40" t="n">
        <f aca="false">D11</f>
        <v>-5000</v>
      </c>
      <c r="E12" s="40" t="n">
        <f aca="false">E11</f>
        <v>-5000</v>
      </c>
      <c r="F12" s="40" t="n">
        <f aca="false">F11</f>
        <v>-5000</v>
      </c>
      <c r="G12" s="40" t="n">
        <f aca="false">G11</f>
        <v>-5000</v>
      </c>
      <c r="H12" s="40" t="n">
        <f aca="false">H11</f>
        <v>-5000</v>
      </c>
      <c r="I12" s="40" t="n">
        <f aca="false">I11</f>
        <v>-5000</v>
      </c>
      <c r="J12" s="40" t="n">
        <f aca="false">J11</f>
        <v>-5000</v>
      </c>
      <c r="K12" s="40" t="n">
        <f aca="false">K11</f>
        <v>-5000</v>
      </c>
      <c r="L12" s="40" t="n">
        <f aca="false">L11</f>
        <v>-5000</v>
      </c>
      <c r="M12" s="40" t="n">
        <f aca="false">M11</f>
        <v>-5000</v>
      </c>
      <c r="N12" s="40" t="n">
        <f aca="false">N11</f>
        <v>-5000</v>
      </c>
      <c r="O12" s="40" t="n">
        <f aca="false">O11</f>
        <v>-5000</v>
      </c>
      <c r="P12" s="40" t="n">
        <f aca="false">P11</f>
        <v>-5000</v>
      </c>
      <c r="Q12" s="40" t="n">
        <f aca="false">Q11</f>
        <v>-5000</v>
      </c>
      <c r="R12" s="40" t="n">
        <f aca="false">R11</f>
        <v>-5000</v>
      </c>
      <c r="S12" s="40" t="n">
        <f aca="false">S11</f>
        <v>-5000</v>
      </c>
      <c r="T12" s="40" t="n">
        <f aca="false">T11</f>
        <v>-5000</v>
      </c>
      <c r="U12" s="40" t="n">
        <f aca="false">U11</f>
        <v>-5000</v>
      </c>
      <c r="V12" s="40" t="n">
        <f aca="false">V11</f>
        <v>-5000</v>
      </c>
      <c r="W12" s="40" t="n">
        <f aca="false">W11</f>
        <v>-5000</v>
      </c>
      <c r="X12" s="40" t="n">
        <f aca="false">X11</f>
        <v>-5000</v>
      </c>
      <c r="Y12" s="40" t="n">
        <f aca="false">Y11</f>
        <v>-5000</v>
      </c>
      <c r="Z12" s="40" t="n">
        <f aca="false">Z11</f>
        <v>-5000</v>
      </c>
      <c r="AA12" s="40" t="n">
        <f aca="false">AA11</f>
        <v>-5000</v>
      </c>
      <c r="AB12" s="40" t="n">
        <f aca="false">AB11</f>
        <v>-5000</v>
      </c>
      <c r="AC12" s="40" t="n">
        <f aca="false">AC11</f>
        <v>-5000</v>
      </c>
      <c r="AD12" s="40" t="n">
        <f aca="false">AD11</f>
        <v>-5000</v>
      </c>
      <c r="AE12" s="40" t="n">
        <f aca="false">AE11</f>
        <v>-5000</v>
      </c>
      <c r="AF12" s="40" t="n">
        <f aca="false">AF11</f>
        <v>-5000</v>
      </c>
      <c r="AG12" s="40" t="n">
        <f aca="false">AG11</f>
        <v>-5000</v>
      </c>
      <c r="AH12" s="40" t="n">
        <f aca="false">AH11</f>
        <v>-5000</v>
      </c>
      <c r="AI12" s="40" t="n">
        <f aca="false">AI11</f>
        <v>-5000</v>
      </c>
      <c r="AJ12" s="40" t="n">
        <f aca="false">AJ11</f>
        <v>-5000</v>
      </c>
      <c r="AK12" s="40" t="n">
        <f aca="false">AK11</f>
        <v>-5000</v>
      </c>
      <c r="AL12" s="40" t="n">
        <f aca="false">AL11</f>
        <v>-5000</v>
      </c>
    </row>
    <row r="13" customFormat="false" ht="15" hidden="false" customHeight="false" outlineLevel="0" collapsed="false">
      <c r="A13" s="8" t="s">
        <v>162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customFormat="false" ht="15" hidden="false" customHeight="false" outlineLevel="0" collapsed="false">
      <c r="A14" s="10" t="s">
        <v>163</v>
      </c>
      <c r="C14" s="14" t="n">
        <f aca="false">IF(C$2=Assumptions!$B$30,Assumptions!$B$29,0)</f>
        <v>0</v>
      </c>
      <c r="D14" s="14" t="n">
        <f aca="false">IF(D$2=Assumptions!$B$30,Assumptions!$B$29,0)</f>
        <v>0</v>
      </c>
      <c r="E14" s="14" t="n">
        <f aca="false">IF(E$2=Assumptions!$B$30,Assumptions!$B$29,0)</f>
        <v>0</v>
      </c>
      <c r="F14" s="14" t="n">
        <f aca="false">IF(F$2=Assumptions!$B$30,Assumptions!$B$29,0)</f>
        <v>0</v>
      </c>
      <c r="G14" s="14" t="n">
        <f aca="false">IF(G$2=Assumptions!$B$30,Assumptions!$B$29,0)</f>
        <v>0</v>
      </c>
      <c r="H14" s="14" t="n">
        <f aca="false">IF(H$2=Assumptions!$B$30,Assumptions!$B$29,0)</f>
        <v>0</v>
      </c>
      <c r="I14" s="14" t="n">
        <f aca="false">IF(I$2=Assumptions!$B$30,Assumptions!$B$29,0)</f>
        <v>0</v>
      </c>
      <c r="J14" s="14" t="n">
        <f aca="false">IF(J$2=Assumptions!$B$30,Assumptions!$B$29,0)</f>
        <v>0</v>
      </c>
      <c r="K14" s="14" t="n">
        <f aca="false">IF(K$2=Assumptions!$B$30,Assumptions!$B$29,0)</f>
        <v>0</v>
      </c>
      <c r="L14" s="14" t="n">
        <f aca="false">IF(L$2=Assumptions!$B$30,Assumptions!$B$29,0)</f>
        <v>0</v>
      </c>
      <c r="M14" s="14" t="n">
        <f aca="false">IF(M$2=Assumptions!$B$30,Assumptions!$B$29,0)</f>
        <v>0</v>
      </c>
      <c r="N14" s="14" t="n">
        <f aca="false">IF(N$2=Assumptions!$B$30,Assumptions!$B$29,0)</f>
        <v>0</v>
      </c>
      <c r="O14" s="14" t="n">
        <f aca="false">IF(O$2=Assumptions!$B$30,Assumptions!$B$29,0)</f>
        <v>3000000</v>
      </c>
      <c r="P14" s="14" t="n">
        <f aca="false">IF(P$2=Assumptions!$B$30,Assumptions!$B$29,0)</f>
        <v>0</v>
      </c>
      <c r="Q14" s="14" t="n">
        <f aca="false">IF(Q$2=Assumptions!$B$30,Assumptions!$B$29,0)</f>
        <v>0</v>
      </c>
      <c r="R14" s="14" t="n">
        <f aca="false">IF(R$2=Assumptions!$B$30,Assumptions!$B$29,0)</f>
        <v>0</v>
      </c>
      <c r="S14" s="14" t="n">
        <f aca="false">IF(S$2=Assumptions!$B$30,Assumptions!$B$29,0)</f>
        <v>0</v>
      </c>
      <c r="T14" s="14" t="n">
        <f aca="false">IF(T$2=Assumptions!$B$30,Assumptions!$B$29,0)</f>
        <v>0</v>
      </c>
      <c r="U14" s="14" t="n">
        <f aca="false">IF(U$2=Assumptions!$B$30,Assumptions!$B$29,0)</f>
        <v>0</v>
      </c>
      <c r="V14" s="14" t="n">
        <f aca="false">IF(V$2=Assumptions!$B$30,Assumptions!$B$29,0)</f>
        <v>0</v>
      </c>
      <c r="W14" s="14" t="n">
        <f aca="false">IF(W$2=Assumptions!$B$30,Assumptions!$B$29,0)</f>
        <v>0</v>
      </c>
      <c r="X14" s="14" t="n">
        <f aca="false">IF(X$2=Assumptions!$B$30,Assumptions!$B$29,0)</f>
        <v>0</v>
      </c>
      <c r="Y14" s="14" t="n">
        <f aca="false">IF(Y$2=Assumptions!$B$30,Assumptions!$B$29,0)</f>
        <v>0</v>
      </c>
      <c r="Z14" s="14" t="n">
        <f aca="false">IF(Z$2=Assumptions!$B$30,Assumptions!$B$29,0)</f>
        <v>0</v>
      </c>
      <c r="AA14" s="14" t="n">
        <f aca="false">IF(AA$2=Assumptions!$B$30,Assumptions!$B$29,0)</f>
        <v>0</v>
      </c>
      <c r="AB14" s="14" t="n">
        <f aca="false">IF(AB$2=Assumptions!$B$30,Assumptions!$B$29,0)</f>
        <v>0</v>
      </c>
      <c r="AC14" s="14" t="n">
        <f aca="false">IF(AC$2=Assumptions!$B$30,Assumptions!$B$29,0)</f>
        <v>0</v>
      </c>
      <c r="AD14" s="14" t="n">
        <f aca="false">IF(AD$2=Assumptions!$B$30,Assumptions!$B$29,0)</f>
        <v>0</v>
      </c>
      <c r="AE14" s="14" t="n">
        <f aca="false">IF(AE$2=Assumptions!$B$30,Assumptions!$B$29,0)</f>
        <v>0</v>
      </c>
      <c r="AF14" s="14" t="n">
        <f aca="false">IF(AF$2=Assumptions!$B$30,Assumptions!$B$29,0)</f>
        <v>0</v>
      </c>
      <c r="AG14" s="14" t="n">
        <f aca="false">IF(AG$2=Assumptions!$B$30,Assumptions!$B$29,0)</f>
        <v>0</v>
      </c>
      <c r="AH14" s="14" t="n">
        <f aca="false">IF(AH$2=Assumptions!$B$30,Assumptions!$B$29,0)</f>
        <v>0</v>
      </c>
      <c r="AI14" s="14" t="n">
        <f aca="false">IF(AI$2=Assumptions!$B$30,Assumptions!$B$29,0)</f>
        <v>0</v>
      </c>
      <c r="AJ14" s="14" t="n">
        <f aca="false">IF(AJ$2=Assumptions!$B$30,Assumptions!$B$29,0)</f>
        <v>0</v>
      </c>
      <c r="AK14" s="14" t="n">
        <f aca="false">IF(AK$2=Assumptions!$B$30,Assumptions!$B$29,0)</f>
        <v>0</v>
      </c>
      <c r="AL14" s="14" t="n">
        <f aca="false">IF(AL$2=Assumptions!$B$30,Assumptions!$B$29,0)</f>
        <v>0</v>
      </c>
    </row>
    <row r="15" customFormat="false" ht="15" hidden="false" customHeight="false" outlineLevel="0" collapsed="false">
      <c r="A15" s="36" t="s">
        <v>164</v>
      </c>
      <c r="C15" s="40" t="n">
        <f aca="false">C14</f>
        <v>0</v>
      </c>
      <c r="D15" s="40" t="n">
        <f aca="false">D14</f>
        <v>0</v>
      </c>
      <c r="E15" s="40" t="n">
        <f aca="false">E14</f>
        <v>0</v>
      </c>
      <c r="F15" s="40" t="n">
        <f aca="false">F14</f>
        <v>0</v>
      </c>
      <c r="G15" s="40" t="n">
        <f aca="false">G14</f>
        <v>0</v>
      </c>
      <c r="H15" s="40" t="n">
        <f aca="false">H14</f>
        <v>0</v>
      </c>
      <c r="I15" s="40" t="n">
        <f aca="false">I14</f>
        <v>0</v>
      </c>
      <c r="J15" s="40" t="n">
        <f aca="false">J14</f>
        <v>0</v>
      </c>
      <c r="K15" s="40" t="n">
        <f aca="false">K14</f>
        <v>0</v>
      </c>
      <c r="L15" s="40" t="n">
        <f aca="false">L14</f>
        <v>0</v>
      </c>
      <c r="M15" s="40" t="n">
        <f aca="false">M14</f>
        <v>0</v>
      </c>
      <c r="N15" s="40" t="n">
        <f aca="false">N14</f>
        <v>0</v>
      </c>
      <c r="O15" s="40" t="n">
        <f aca="false">O14</f>
        <v>3000000</v>
      </c>
      <c r="P15" s="40" t="n">
        <f aca="false">P14</f>
        <v>0</v>
      </c>
      <c r="Q15" s="40" t="n">
        <f aca="false">Q14</f>
        <v>0</v>
      </c>
      <c r="R15" s="40" t="n">
        <f aca="false">R14</f>
        <v>0</v>
      </c>
      <c r="S15" s="40" t="n">
        <f aca="false">S14</f>
        <v>0</v>
      </c>
      <c r="T15" s="40" t="n">
        <f aca="false">T14</f>
        <v>0</v>
      </c>
      <c r="U15" s="40" t="n">
        <f aca="false">U14</f>
        <v>0</v>
      </c>
      <c r="V15" s="40" t="n">
        <f aca="false">V14</f>
        <v>0</v>
      </c>
      <c r="W15" s="40" t="n">
        <f aca="false">W14</f>
        <v>0</v>
      </c>
      <c r="X15" s="40" t="n">
        <f aca="false">X14</f>
        <v>0</v>
      </c>
      <c r="Y15" s="40" t="n">
        <f aca="false">Y14</f>
        <v>0</v>
      </c>
      <c r="Z15" s="40" t="n">
        <f aca="false">Z14</f>
        <v>0</v>
      </c>
      <c r="AA15" s="40" t="n">
        <f aca="false">AA14</f>
        <v>0</v>
      </c>
      <c r="AB15" s="40" t="n">
        <f aca="false">AB14</f>
        <v>0</v>
      </c>
      <c r="AC15" s="40" t="n">
        <f aca="false">AC14</f>
        <v>0</v>
      </c>
      <c r="AD15" s="40" t="n">
        <f aca="false">AD14</f>
        <v>0</v>
      </c>
      <c r="AE15" s="40" t="n">
        <f aca="false">AE14</f>
        <v>0</v>
      </c>
      <c r="AF15" s="40" t="n">
        <f aca="false">AF14</f>
        <v>0</v>
      </c>
      <c r="AG15" s="40" t="n">
        <f aca="false">AG14</f>
        <v>0</v>
      </c>
      <c r="AH15" s="40" t="n">
        <f aca="false">AH14</f>
        <v>0</v>
      </c>
      <c r="AI15" s="40" t="n">
        <f aca="false">AI14</f>
        <v>0</v>
      </c>
      <c r="AJ15" s="40" t="n">
        <f aca="false">AJ14</f>
        <v>0</v>
      </c>
      <c r="AK15" s="40" t="n">
        <f aca="false">AK14</f>
        <v>0</v>
      </c>
      <c r="AL15" s="40" t="n">
        <f aca="false">AL14</f>
        <v>0</v>
      </c>
    </row>
    <row r="17" customFormat="false" ht="15" hidden="false" customHeight="false" outlineLevel="0" collapsed="false">
      <c r="A17" s="16" t="s">
        <v>165</v>
      </c>
      <c r="C17" s="17" t="n">
        <f aca="false">C9+C12+C15</f>
        <v>-153496.876375</v>
      </c>
      <c r="D17" s="17" t="n">
        <f aca="false">D9+D12+D15</f>
        <v>-155420.555219375</v>
      </c>
      <c r="E17" s="17" t="n">
        <f aca="false">E9+E12+E15</f>
        <v>-154033.211989597</v>
      </c>
      <c r="F17" s="17" t="n">
        <f aca="false">F9+F12+F15</f>
        <v>-152585.938535441</v>
      </c>
      <c r="G17" s="17" t="n">
        <f aca="false">G9+G12+G15</f>
        <v>-151074.339063182</v>
      </c>
      <c r="H17" s="17" t="n">
        <f aca="false">H9+H12+H15</f>
        <v>-149493.835223485</v>
      </c>
      <c r="I17" s="17" t="n">
        <f aca="false">I9+I12+I15</f>
        <v>-147839.656597805</v>
      </c>
      <c r="J17" s="17" t="n">
        <f aca="false">J9+J12+J15</f>
        <v>-146106.830757812</v>
      </c>
      <c r="K17" s="17" t="n">
        <f aca="false">K9+K12+K15</f>
        <v>-144290.172876687</v>
      </c>
      <c r="L17" s="17" t="n">
        <f aca="false">L9+L12+L15</f>
        <v>-142384.274870098</v>
      </c>
      <c r="M17" s="17" t="n">
        <f aca="false">M9+M12+M15</f>
        <v>-140383.494043654</v>
      </c>
      <c r="N17" s="17" t="n">
        <f aca="false">N9+N12+N15</f>
        <v>-138281.941222502</v>
      </c>
      <c r="O17" s="17" t="n">
        <f aca="false">O9+O12+O15</f>
        <v>2863926.53166238</v>
      </c>
      <c r="P17" s="17" t="n">
        <f aca="false">P9+P12+P15</f>
        <v>-133751.655442101</v>
      </c>
      <c r="Q17" s="17" t="n">
        <f aca="false">Q9+Q12+Q15</f>
        <v>-131309.797129558</v>
      </c>
      <c r="R17" s="17" t="n">
        <f aca="false">R9+R12+R15</f>
        <v>-128740.888325269</v>
      </c>
      <c r="S17" s="17" t="n">
        <f aca="false">S9+S12+S15</f>
        <v>-126037.609419502</v>
      </c>
      <c r="T17" s="17" t="n">
        <f aca="false">T9+T12+T15</f>
        <v>-123192.310710849</v>
      </c>
      <c r="U17" s="17" t="n">
        <f aca="false">U9+U12+U15</f>
        <v>-120196.996125913</v>
      </c>
      <c r="V17" s="17" t="n">
        <f aca="false">V9+V12+V15</f>
        <v>-117043.30618009</v>
      </c>
      <c r="W17" s="17" t="n">
        <f aca="false">W9+W12+W15</f>
        <v>-113722.500142492</v>
      </c>
      <c r="X17" s="17" t="n">
        <f aca="false">X9+X12+X15</f>
        <v>-110225.437366283</v>
      </c>
      <c r="Y17" s="17" t="n">
        <f aca="false">Y9+Y12+Y15</f>
        <v>-106542.557743866</v>
      </c>
      <c r="Z17" s="17" t="n">
        <f aca="false">Z9+Z12+Z15</f>
        <v>-102663.86124437</v>
      </c>
      <c r="AA17" s="17" t="n">
        <f aca="false">AA9+AA12+AA15</f>
        <v>-98578.8864889034</v>
      </c>
      <c r="AB17" s="17" t="n">
        <f aca="false">AB9+AB12+AB15</f>
        <v>-94276.688316842</v>
      </c>
      <c r="AC17" s="17" t="n">
        <f aca="false">AC9+AC12+AC15</f>
        <v>-89745.8142942087</v>
      </c>
      <c r="AD17" s="17" t="n">
        <f aca="false">AD9+AD12+AD15</f>
        <v>-84974.2801128383</v>
      </c>
      <c r="AE17" s="17" t="n">
        <f aca="false">AE9+AE12+AE15</f>
        <v>-79949.5438265462</v>
      </c>
      <c r="AF17" s="17" t="n">
        <f aca="false">AF9+AF12+AF15</f>
        <v>-74658.4788679301</v>
      </c>
      <c r="AG17" s="17" t="n">
        <f aca="false">AG9+AG12+AG15</f>
        <v>-69087.3457867209</v>
      </c>
      <c r="AH17" s="17" t="n">
        <f aca="false">AH9+AH12+AH15</f>
        <v>-63221.7626477423</v>
      </c>
      <c r="AI17" s="17" t="n">
        <f aca="false">AI9+AI12+AI15</f>
        <v>-57046.6740235526</v>
      </c>
      <c r="AJ17" s="17" t="n">
        <f aca="false">AJ9+AJ12+AJ15</f>
        <v>-50546.3185137073</v>
      </c>
      <c r="AK17" s="17" t="n">
        <f aca="false">AK9+AK12+AK15</f>
        <v>-43704.1947192897</v>
      </c>
      <c r="AL17" s="17" t="n">
        <f aca="false">AL9+AL12+AL15</f>
        <v>-36503.0255979091</v>
      </c>
    </row>
    <row r="18" customFormat="false" ht="15" hidden="false" customHeight="false" outlineLevel="0" collapsed="false">
      <c r="A18" s="10" t="s">
        <v>166</v>
      </c>
      <c r="C18" s="39" t="n">
        <f aca="false">B19</f>
        <v>2000000</v>
      </c>
      <c r="D18" s="39" t="n">
        <f aca="false">C19</f>
        <v>1846503.123625</v>
      </c>
      <c r="E18" s="39" t="n">
        <f aca="false">D19</f>
        <v>1691082.56840563</v>
      </c>
      <c r="F18" s="39" t="n">
        <f aca="false">E19</f>
        <v>1537049.35641603</v>
      </c>
      <c r="G18" s="39" t="n">
        <f aca="false">F19</f>
        <v>1384463.41788059</v>
      </c>
      <c r="H18" s="39" t="n">
        <f aca="false">G19</f>
        <v>1233389.07881741</v>
      </c>
      <c r="I18" s="39" t="n">
        <f aca="false">H19</f>
        <v>1083895.24359392</v>
      </c>
      <c r="J18" s="39" t="n">
        <f aca="false">I19</f>
        <v>936055.586996114</v>
      </c>
      <c r="K18" s="39" t="n">
        <f aca="false">J19</f>
        <v>789948.756238302</v>
      </c>
      <c r="L18" s="39" t="n">
        <f aca="false">K19</f>
        <v>645658.583361615</v>
      </c>
      <c r="M18" s="39" t="n">
        <f aca="false">L19</f>
        <v>503274.308491517</v>
      </c>
      <c r="N18" s="39" t="n">
        <f aca="false">M19</f>
        <v>362890.814447863</v>
      </c>
      <c r="O18" s="39" t="n">
        <f aca="false">N19</f>
        <v>224608.873225361</v>
      </c>
      <c r="P18" s="39" t="n">
        <f aca="false">O19</f>
        <v>3088535.40488775</v>
      </c>
      <c r="Q18" s="39" t="n">
        <f aca="false">P19</f>
        <v>2954783.74944564</v>
      </c>
      <c r="R18" s="39" t="n">
        <f aca="false">Q19</f>
        <v>2823473.95231609</v>
      </c>
      <c r="S18" s="39" t="n">
        <f aca="false">R19</f>
        <v>2694733.06399082</v>
      </c>
      <c r="T18" s="39" t="n">
        <f aca="false">S19</f>
        <v>2568695.45457132</v>
      </c>
      <c r="U18" s="39" t="n">
        <f aca="false">T19</f>
        <v>2445503.14386047</v>
      </c>
      <c r="V18" s="39" t="n">
        <f aca="false">U19</f>
        <v>2325306.14773455</v>
      </c>
      <c r="W18" s="39" t="n">
        <f aca="false">V19</f>
        <v>2208262.84155446</v>
      </c>
      <c r="X18" s="39" t="n">
        <f aca="false">W19</f>
        <v>2094540.34141197</v>
      </c>
      <c r="Y18" s="39" t="n">
        <f aca="false">X19</f>
        <v>1984314.90404569</v>
      </c>
      <c r="Z18" s="39" t="n">
        <f aca="false">Y19</f>
        <v>1877772.34630182</v>
      </c>
      <c r="AA18" s="39" t="n">
        <f aca="false">Z19</f>
        <v>1775108.48505745</v>
      </c>
      <c r="AB18" s="39" t="n">
        <f aca="false">AA19</f>
        <v>1676529.59856855</v>
      </c>
      <c r="AC18" s="39" t="n">
        <f aca="false">AB19</f>
        <v>1582252.91025171</v>
      </c>
      <c r="AD18" s="39" t="n">
        <f aca="false">AC19</f>
        <v>1492507.0959575</v>
      </c>
      <c r="AE18" s="39" t="n">
        <f aca="false">AD19</f>
        <v>1407532.81584466</v>
      </c>
      <c r="AF18" s="39" t="n">
        <f aca="false">AE19</f>
        <v>1327583.27201811</v>
      </c>
      <c r="AG18" s="39" t="n">
        <f aca="false">AF19</f>
        <v>1252924.79315018</v>
      </c>
      <c r="AH18" s="39" t="n">
        <f aca="false">AG19</f>
        <v>1183837.44736346</v>
      </c>
      <c r="AI18" s="39" t="n">
        <f aca="false">AH19</f>
        <v>1120615.68471572</v>
      </c>
      <c r="AJ18" s="39" t="n">
        <f aca="false">AI19</f>
        <v>1063569.01069217</v>
      </c>
      <c r="AK18" s="39" t="n">
        <f aca="false">AJ19</f>
        <v>1013022.69217846</v>
      </c>
      <c r="AL18" s="39" t="n">
        <f aca="false">AK19</f>
        <v>969318.497459172</v>
      </c>
    </row>
    <row r="19" customFormat="false" ht="15" hidden="false" customHeight="false" outlineLevel="0" collapsed="false">
      <c r="A19" s="36" t="s">
        <v>46</v>
      </c>
      <c r="B19" s="45" t="n">
        <f aca="false">Assumptions!B27</f>
        <v>2000000</v>
      </c>
      <c r="C19" s="40" t="n">
        <f aca="false">C18+C17</f>
        <v>1846503.123625</v>
      </c>
      <c r="D19" s="40" t="n">
        <f aca="false">D18+D17</f>
        <v>1691082.56840563</v>
      </c>
      <c r="E19" s="40" t="n">
        <f aca="false">E18+E17</f>
        <v>1537049.35641603</v>
      </c>
      <c r="F19" s="40" t="n">
        <f aca="false">F18+F17</f>
        <v>1384463.41788059</v>
      </c>
      <c r="G19" s="40" t="n">
        <f aca="false">G18+G17</f>
        <v>1233389.07881741</v>
      </c>
      <c r="H19" s="40" t="n">
        <f aca="false">H18+H17</f>
        <v>1083895.24359392</v>
      </c>
      <c r="I19" s="40" t="n">
        <f aca="false">I18+I17</f>
        <v>936055.586996114</v>
      </c>
      <c r="J19" s="40" t="n">
        <f aca="false">J18+J17</f>
        <v>789948.756238302</v>
      </c>
      <c r="K19" s="40" t="n">
        <f aca="false">K18+K17</f>
        <v>645658.583361615</v>
      </c>
      <c r="L19" s="40" t="n">
        <f aca="false">L18+L17</f>
        <v>503274.308491517</v>
      </c>
      <c r="M19" s="40" t="n">
        <f aca="false">M18+M17</f>
        <v>362890.814447863</v>
      </c>
      <c r="N19" s="40" t="n">
        <f aca="false">N18+N17</f>
        <v>224608.873225361</v>
      </c>
      <c r="O19" s="40" t="n">
        <f aca="false">O18+O17</f>
        <v>3088535.40488775</v>
      </c>
      <c r="P19" s="40" t="n">
        <f aca="false">P18+P17</f>
        <v>2954783.74944564</v>
      </c>
      <c r="Q19" s="40" t="n">
        <f aca="false">Q18+Q17</f>
        <v>2823473.95231609</v>
      </c>
      <c r="R19" s="40" t="n">
        <f aca="false">R18+R17</f>
        <v>2694733.06399082</v>
      </c>
      <c r="S19" s="40" t="n">
        <f aca="false">S18+S17</f>
        <v>2568695.45457132</v>
      </c>
      <c r="T19" s="40" t="n">
        <f aca="false">T18+T17</f>
        <v>2445503.14386047</v>
      </c>
      <c r="U19" s="40" t="n">
        <f aca="false">U18+U17</f>
        <v>2325306.14773455</v>
      </c>
      <c r="V19" s="40" t="n">
        <f aca="false">V18+V17</f>
        <v>2208262.84155446</v>
      </c>
      <c r="W19" s="40" t="n">
        <f aca="false">W18+W17</f>
        <v>2094540.34141197</v>
      </c>
      <c r="X19" s="40" t="n">
        <f aca="false">X18+X17</f>
        <v>1984314.90404569</v>
      </c>
      <c r="Y19" s="40" t="n">
        <f aca="false">Y18+Y17</f>
        <v>1877772.34630182</v>
      </c>
      <c r="Z19" s="40" t="n">
        <f aca="false">Z18+Z17</f>
        <v>1775108.48505745</v>
      </c>
      <c r="AA19" s="40" t="n">
        <f aca="false">AA18+AA17</f>
        <v>1676529.59856855</v>
      </c>
      <c r="AB19" s="40" t="n">
        <f aca="false">AB18+AB17</f>
        <v>1582252.91025171</v>
      </c>
      <c r="AC19" s="40" t="n">
        <f aca="false">AC18+AC17</f>
        <v>1492507.0959575</v>
      </c>
      <c r="AD19" s="40" t="n">
        <f aca="false">AD18+AD17</f>
        <v>1407532.81584466</v>
      </c>
      <c r="AE19" s="40" t="n">
        <f aca="false">AE18+AE17</f>
        <v>1327583.27201811</v>
      </c>
      <c r="AF19" s="40" t="n">
        <f aca="false">AF18+AF17</f>
        <v>1252924.79315018</v>
      </c>
      <c r="AG19" s="40" t="n">
        <f aca="false">AG18+AG17</f>
        <v>1183837.44736346</v>
      </c>
      <c r="AH19" s="40" t="n">
        <f aca="false">AH18+AH17</f>
        <v>1120615.68471572</v>
      </c>
      <c r="AI19" s="40" t="n">
        <f aca="false">AI18+AI17</f>
        <v>1063569.01069217</v>
      </c>
      <c r="AJ19" s="40" t="n">
        <f aca="false">AJ18+AJ17</f>
        <v>1013022.69217846</v>
      </c>
      <c r="AK19" s="40" t="n">
        <f aca="false">AK18+AK17</f>
        <v>969318.497459172</v>
      </c>
      <c r="AL19" s="40" t="n">
        <f aca="false">AL18+AL17</f>
        <v>932815.471861263</v>
      </c>
    </row>
    <row r="20" customFormat="false" ht="15" hidden="false" customHeight="false" outlineLevel="0" collapsed="false">
      <c r="A20" s="10" t="s">
        <v>167</v>
      </c>
      <c r="B20" s="14" t="n">
        <f aca="false">'Revenue Build'!B47*Assumptions!B28/30</f>
        <v>13867</v>
      </c>
      <c r="C20" s="14" t="n">
        <f aca="false">'Income Statement'!C5*Assumptions!$B$28/30</f>
        <v>17242.6425</v>
      </c>
      <c r="D20" s="14" t="n">
        <f aca="false">'Income Statement'!D5*Assumptions!$B$28/30</f>
        <v>24120.7234625</v>
      </c>
      <c r="E20" s="14" t="n">
        <f aca="false">'Income Statement'!E5*Assumptions!$B$28/30</f>
        <v>31259.1468273125</v>
      </c>
      <c r="F20" s="14" t="n">
        <f aca="false">'Income Statement'!F5*Assumptions!$B$28/30</f>
        <v>38671.7104762241</v>
      </c>
      <c r="G20" s="14" t="n">
        <f aca="false">'Income Statement'!G5*Assumptions!$B$28/30</f>
        <v>46372.8209099399</v>
      </c>
      <c r="H20" s="14" t="n">
        <f aca="false">'Income Statement'!H5*Assumptions!$B$28/30</f>
        <v>54377.5234670983</v>
      </c>
      <c r="I20" s="14" t="n">
        <f aca="false">'Income Statement'!I5*Assumptions!$B$28/30</f>
        <v>62701.5339568258</v>
      </c>
      <c r="J20" s="14" t="n">
        <f aca="false">'Income Statement'!J5*Assumptions!$B$28/30</f>
        <v>71361.271774255</v>
      </c>
      <c r="K20" s="14" t="n">
        <f aca="false">'Income Statement'!K5*Assumptions!$B$28/30</f>
        <v>80373.8945717657</v>
      </c>
      <c r="L20" s="14" t="n">
        <f aca="false">'Income Statement'!L5*Assumptions!$B$28/30</f>
        <v>89757.3345622199</v>
      </c>
      <c r="M20" s="14" t="n">
        <f aca="false">'Income Statement'!M5*Assumptions!$B$28/30</f>
        <v>99530.3365341366</v>
      </c>
      <c r="N20" s="14" t="n">
        <f aca="false">'Income Statement'!N5*Assumptions!$B$28/30</f>
        <v>109712.497662612</v>
      </c>
      <c r="O20" s="14" t="n">
        <f aca="false">'Income Statement'!O5*Assumptions!$B$28/30</f>
        <v>120324.309203841</v>
      </c>
      <c r="P20" s="14" t="n">
        <f aca="false">'Income Statement'!P5*Assumptions!$B$28/30</f>
        <v>131387.200165345</v>
      </c>
      <c r="Q20" s="14" t="n">
        <f aca="false">'Income Statement'!Q5*Assumptions!$B$28/30</f>
        <v>142923.583048457</v>
      </c>
      <c r="R20" s="14" t="n">
        <f aca="false">'Income Statement'!R5*Assumptions!$B$28/30</f>
        <v>154956.901764311</v>
      </c>
      <c r="S20" s="14" t="n">
        <f aca="false">'Income Statement'!S5*Assumptions!$B$28/30</f>
        <v>167511.681829457</v>
      </c>
      <c r="T20" s="14" t="n">
        <f aca="false">'Income Statement'!T5*Assumptions!$B$28/30</f>
        <v>180613.582952406</v>
      </c>
      <c r="U20" s="14" t="n">
        <f aca="false">'Income Statement'!U5*Assumptions!$B$28/30</f>
        <v>194289.454127769</v>
      </c>
      <c r="V20" s="14" t="n">
        <f aca="false">'Income Statement'!V5*Assumptions!$B$28/30</f>
        <v>208567.391360345</v>
      </c>
      <c r="W20" s="14" t="n">
        <f aca="false">'Income Statement'!W5*Assumptions!$B$28/30</f>
        <v>223476.798147442</v>
      </c>
      <c r="X20" s="14" t="n">
        <f aca="false">'Income Statement'!X5*Assumptions!$B$28/30</f>
        <v>239048.448853952</v>
      </c>
      <c r="Y20" s="14" t="n">
        <f aca="false">'Income Statement'!Y5*Assumptions!$B$28/30</f>
        <v>255314.555121231</v>
      </c>
      <c r="Z20" s="14" t="n">
        <f aca="false">'Income Statement'!Z5*Assumptions!$B$28/30</f>
        <v>272308.835457711</v>
      </c>
      <c r="AA20" s="14" t="n">
        <f aca="false">'Income Statement'!AA5*Assumptions!$B$28/30</f>
        <v>290066.588166349</v>
      </c>
      <c r="AB20" s="14" t="n">
        <f aca="false">'Income Statement'!AB5*Assumptions!$B$28/30</f>
        <v>308624.767771581</v>
      </c>
      <c r="AC20" s="14" t="n">
        <f aca="false">'Income Statement'!AC5*Assumptions!$B$28/30</f>
        <v>328022.065116365</v>
      </c>
      <c r="AD20" s="14" t="n">
        <f aca="false">'Income Statement'!AD5*Assumptions!$B$28/30</f>
        <v>348298.991308205</v>
      </c>
      <c r="AE20" s="14" t="n">
        <f aca="false">'Income Statement'!AE5*Assumptions!$B$28/30</f>
        <v>369497.96570176</v>
      </c>
      <c r="AF20" s="14" t="n">
        <f aca="false">'Income Statement'!AF5*Assumptions!$B$28/30</f>
        <v>391663.408114813</v>
      </c>
      <c r="AG20" s="14" t="n">
        <f aca="false">'Income Statement'!AG5*Assumptions!$B$28/30</f>
        <v>414841.835483921</v>
      </c>
      <c r="AH20" s="14" t="n">
        <f aca="false">'Income Statement'!AH5*Assumptions!$B$28/30</f>
        <v>439081.963176186</v>
      </c>
      <c r="AI20" s="14" t="n">
        <f aca="false">'Income Statement'!AI5*Assumptions!$B$28/30</f>
        <v>464434.811184115</v>
      </c>
      <c r="AJ20" s="14" t="n">
        <f aca="false">'Income Statement'!AJ5*Assumptions!$B$28/30</f>
        <v>490953.815441615</v>
      </c>
      <c r="AK20" s="14" t="n">
        <f aca="false">'Income Statement'!AK5*Assumptions!$B$28/30</f>
        <v>518694.94451081</v>
      </c>
      <c r="AL20" s="14" t="n">
        <f aca="false">'Income Statement'!AL5*Assumptions!$B$28/30</f>
        <v>547716.821901552</v>
      </c>
    </row>
    <row r="21" customFormat="false" ht="15" hidden="false" customHeight="false" outlineLevel="0" collapsed="false">
      <c r="A21" s="8" t="s">
        <v>168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customFormat="false" ht="15" hidden="false" customHeight="false" outlineLevel="0" collapsed="false">
      <c r="A22" s="16" t="s">
        <v>169</v>
      </c>
      <c r="C22" s="17" t="n">
        <f aca="false">C9+C12</f>
        <v>-153496.876375</v>
      </c>
      <c r="D22" s="17" t="n">
        <f aca="false">D9+D12</f>
        <v>-155420.555219375</v>
      </c>
      <c r="E22" s="17" t="n">
        <f aca="false">E9+E12</f>
        <v>-154033.211989597</v>
      </c>
      <c r="F22" s="17" t="n">
        <f aca="false">F9+F12</f>
        <v>-152585.938535441</v>
      </c>
      <c r="G22" s="17" t="n">
        <f aca="false">G9+G12</f>
        <v>-151074.339063182</v>
      </c>
      <c r="H22" s="17" t="n">
        <f aca="false">H9+H12</f>
        <v>-149493.835223485</v>
      </c>
      <c r="I22" s="17" t="n">
        <f aca="false">I9+I12</f>
        <v>-147839.656597805</v>
      </c>
      <c r="J22" s="17" t="n">
        <f aca="false">J9+J12</f>
        <v>-146106.830757812</v>
      </c>
      <c r="K22" s="17" t="n">
        <f aca="false">K9+K12</f>
        <v>-144290.172876687</v>
      </c>
      <c r="L22" s="17" t="n">
        <f aca="false">L9+L12</f>
        <v>-142384.274870098</v>
      </c>
      <c r="M22" s="17" t="n">
        <f aca="false">M9+M12</f>
        <v>-140383.494043654</v>
      </c>
      <c r="N22" s="17" t="n">
        <f aca="false">N9+N12</f>
        <v>-138281.941222502</v>
      </c>
      <c r="O22" s="17" t="n">
        <f aca="false">O9+O12</f>
        <v>-136073.468337616</v>
      </c>
      <c r="P22" s="17" t="n">
        <f aca="false">P9+P12</f>
        <v>-133751.655442101</v>
      </c>
      <c r="Q22" s="17" t="n">
        <f aca="false">Q9+Q12</f>
        <v>-131309.797129558</v>
      </c>
      <c r="R22" s="17" t="n">
        <f aca="false">R9+R12</f>
        <v>-128740.888325269</v>
      </c>
      <c r="S22" s="17" t="n">
        <f aca="false">S9+S12</f>
        <v>-126037.609419502</v>
      </c>
      <c r="T22" s="17" t="n">
        <f aca="false">T9+T12</f>
        <v>-123192.310710849</v>
      </c>
      <c r="U22" s="17" t="n">
        <f aca="false">U9+U12</f>
        <v>-120196.996125913</v>
      </c>
      <c r="V22" s="17" t="n">
        <f aca="false">V9+V12</f>
        <v>-117043.30618009</v>
      </c>
      <c r="W22" s="17" t="n">
        <f aca="false">W9+W12</f>
        <v>-113722.500142492</v>
      </c>
      <c r="X22" s="17" t="n">
        <f aca="false">X9+X12</f>
        <v>-110225.437366283</v>
      </c>
      <c r="Y22" s="17" t="n">
        <f aca="false">Y9+Y12</f>
        <v>-106542.557743866</v>
      </c>
      <c r="Z22" s="17" t="n">
        <f aca="false">Z9+Z12</f>
        <v>-102663.86124437</v>
      </c>
      <c r="AA22" s="17" t="n">
        <f aca="false">AA9+AA12</f>
        <v>-98578.8864889034</v>
      </c>
      <c r="AB22" s="17" t="n">
        <f aca="false">AB9+AB12</f>
        <v>-94276.688316842</v>
      </c>
      <c r="AC22" s="17" t="n">
        <f aca="false">AC9+AC12</f>
        <v>-89745.8142942087</v>
      </c>
      <c r="AD22" s="17" t="n">
        <f aca="false">AD9+AD12</f>
        <v>-84974.2801128383</v>
      </c>
      <c r="AE22" s="17" t="n">
        <f aca="false">AE9+AE12</f>
        <v>-79949.5438265462</v>
      </c>
      <c r="AF22" s="17" t="n">
        <f aca="false">AF9+AF12</f>
        <v>-74658.4788679301</v>
      </c>
      <c r="AG22" s="17" t="n">
        <f aca="false">AG9+AG12</f>
        <v>-69087.3457867209</v>
      </c>
      <c r="AH22" s="17" t="n">
        <f aca="false">AH9+AH12</f>
        <v>-63221.7626477423</v>
      </c>
      <c r="AI22" s="17" t="n">
        <f aca="false">AI9+AI12</f>
        <v>-57046.6740235526</v>
      </c>
      <c r="AJ22" s="17" t="n">
        <f aca="false">AJ9+AJ12</f>
        <v>-50546.3185137073</v>
      </c>
      <c r="AK22" s="17" t="n">
        <f aca="false">AK9+AK12</f>
        <v>-43704.1947192897</v>
      </c>
      <c r="AL22" s="17" t="n">
        <f aca="false">AL9+AL12</f>
        <v>-36503.0255979091</v>
      </c>
    </row>
    <row r="23" customFormat="false" ht="15" hidden="false" customHeight="false" outlineLevel="0" collapsed="false">
      <c r="A23" s="10" t="s">
        <v>170</v>
      </c>
      <c r="C23" s="39" t="n">
        <f aca="false">MAX(0,-C22)</f>
        <v>153496.876375</v>
      </c>
      <c r="D23" s="39" t="n">
        <f aca="false">MAX(0,-D22)</f>
        <v>155420.555219375</v>
      </c>
      <c r="E23" s="39" t="n">
        <f aca="false">MAX(0,-E22)</f>
        <v>154033.211989597</v>
      </c>
      <c r="F23" s="39" t="n">
        <f aca="false">MAX(0,-F22)</f>
        <v>152585.938535441</v>
      </c>
      <c r="G23" s="39" t="n">
        <f aca="false">MAX(0,-G22)</f>
        <v>151074.339063182</v>
      </c>
      <c r="H23" s="39" t="n">
        <f aca="false">MAX(0,-H22)</f>
        <v>149493.835223485</v>
      </c>
      <c r="I23" s="39" t="n">
        <f aca="false">MAX(0,-I22)</f>
        <v>147839.656597805</v>
      </c>
      <c r="J23" s="39" t="n">
        <f aca="false">MAX(0,-J22)</f>
        <v>146106.830757812</v>
      </c>
      <c r="K23" s="39" t="n">
        <f aca="false">MAX(0,-K22)</f>
        <v>144290.172876687</v>
      </c>
      <c r="L23" s="39" t="n">
        <f aca="false">MAX(0,-L22)</f>
        <v>142384.274870098</v>
      </c>
      <c r="M23" s="39" t="n">
        <f aca="false">MAX(0,-M22)</f>
        <v>140383.494043654</v>
      </c>
      <c r="N23" s="39" t="n">
        <f aca="false">MAX(0,-N22)</f>
        <v>138281.941222502</v>
      </c>
      <c r="O23" s="39" t="n">
        <f aca="false">MAX(0,-O22)</f>
        <v>136073.468337616</v>
      </c>
      <c r="P23" s="39" t="n">
        <f aca="false">MAX(0,-P22)</f>
        <v>133751.655442101</v>
      </c>
      <c r="Q23" s="39" t="n">
        <f aca="false">MAX(0,-Q22)</f>
        <v>131309.797129558</v>
      </c>
      <c r="R23" s="39" t="n">
        <f aca="false">MAX(0,-R22)</f>
        <v>128740.888325269</v>
      </c>
      <c r="S23" s="39" t="n">
        <f aca="false">MAX(0,-S22)</f>
        <v>126037.609419502</v>
      </c>
      <c r="T23" s="39" t="n">
        <f aca="false">MAX(0,-T22)</f>
        <v>123192.310710849</v>
      </c>
      <c r="U23" s="39" t="n">
        <f aca="false">MAX(0,-U22)</f>
        <v>120196.996125913</v>
      </c>
      <c r="V23" s="39" t="n">
        <f aca="false">MAX(0,-V22)</f>
        <v>117043.30618009</v>
      </c>
      <c r="W23" s="39" t="n">
        <f aca="false">MAX(0,-W22)</f>
        <v>113722.500142492</v>
      </c>
      <c r="X23" s="39" t="n">
        <f aca="false">MAX(0,-X22)</f>
        <v>110225.437366283</v>
      </c>
      <c r="Y23" s="39" t="n">
        <f aca="false">MAX(0,-Y22)</f>
        <v>106542.557743866</v>
      </c>
      <c r="Z23" s="39" t="n">
        <f aca="false">MAX(0,-Z22)</f>
        <v>102663.86124437</v>
      </c>
      <c r="AA23" s="39" t="n">
        <f aca="false">MAX(0,-AA22)</f>
        <v>98578.8864889034</v>
      </c>
      <c r="AB23" s="39" t="n">
        <f aca="false">MAX(0,-AB22)</f>
        <v>94276.688316842</v>
      </c>
      <c r="AC23" s="39" t="n">
        <f aca="false">MAX(0,-AC22)</f>
        <v>89745.8142942087</v>
      </c>
      <c r="AD23" s="39" t="n">
        <f aca="false">MAX(0,-AD22)</f>
        <v>84974.2801128383</v>
      </c>
      <c r="AE23" s="39" t="n">
        <f aca="false">MAX(0,-AE22)</f>
        <v>79949.5438265462</v>
      </c>
      <c r="AF23" s="39" t="n">
        <f aca="false">MAX(0,-AF22)</f>
        <v>74658.4788679301</v>
      </c>
      <c r="AG23" s="39" t="n">
        <f aca="false">MAX(0,-AG22)</f>
        <v>69087.3457867209</v>
      </c>
      <c r="AH23" s="39" t="n">
        <f aca="false">MAX(0,-AH22)</f>
        <v>63221.7626477423</v>
      </c>
      <c r="AI23" s="39" t="n">
        <f aca="false">MAX(0,-AI22)</f>
        <v>57046.6740235526</v>
      </c>
      <c r="AJ23" s="39" t="n">
        <f aca="false">MAX(0,-AJ22)</f>
        <v>50546.3185137073</v>
      </c>
      <c r="AK23" s="39" t="n">
        <f aca="false">MAX(0,-AK22)</f>
        <v>43704.1947192897</v>
      </c>
      <c r="AL23" s="39" t="n">
        <f aca="false">MAX(0,-AL22)</f>
        <v>36503.0255979091</v>
      </c>
    </row>
    <row r="24" customFormat="false" ht="15" hidden="false" customHeight="false" outlineLevel="0" collapsed="false">
      <c r="A24" s="10" t="s">
        <v>171</v>
      </c>
      <c r="C24" s="24" t="n">
        <f aca="false">IF(C23&gt;0,C19/C23,"CF positive")</f>
        <v>12.0295811043992</v>
      </c>
      <c r="D24" s="24" t="n">
        <f aca="false">IF(D23&gt;0,D19/D23,"CF positive")</f>
        <v>10.8806879889129</v>
      </c>
      <c r="E24" s="24" t="n">
        <f aca="false">IF(E23&gt;0,E19/E23,"CF positive")</f>
        <v>9.9786879502314</v>
      </c>
      <c r="F24" s="24" t="n">
        <f aca="false">IF(F23&gt;0,F19/F23,"CF positive")</f>
        <v>9.07333553254659</v>
      </c>
      <c r="G24" s="24" t="n">
        <f aca="false">IF(G23&gt;0,G19/G23,"CF positive")</f>
        <v>8.16412030306207</v>
      </c>
      <c r="H24" s="24" t="n">
        <f aca="false">IF(H23&gt;0,H19/H23,"CF positive")</f>
        <v>7.25043438730135</v>
      </c>
      <c r="I24" s="24" t="n">
        <f aca="false">IF(I23&gt;0,I19/I23,"CF positive")</f>
        <v>6.33155953238334</v>
      </c>
      <c r="J24" s="24" t="n">
        <f aca="false">IF(J23&gt;0,J19/J23,"CF positive")</f>
        <v>5.40665177761419</v>
      </c>
      <c r="K24" s="24" t="n">
        <f aca="false">IF(K23&gt;0,K19/K23,"CF positive")</f>
        <v>4.47472319485963</v>
      </c>
      <c r="L24" s="24" t="n">
        <f aca="false">IF(L23&gt;0,L19/L23,"CF positive")</f>
        <v>3.53462002001746</v>
      </c>
      <c r="M24" s="24" t="n">
        <f aca="false">IF(M23&gt;0,M19/M23,"CF positive")</f>
        <v>2.58499631256519</v>
      </c>
      <c r="N24" s="24" t="n">
        <f aca="false">IF(N23&gt;0,N19/N23,"CF positive")</f>
        <v>1.62428203740614</v>
      </c>
      <c r="O24" s="24" t="n">
        <f aca="false">IF(O23&gt;0,O19/O23,"CF positive")</f>
        <v>22.6975577430325</v>
      </c>
      <c r="P24" s="24" t="n">
        <f aca="false">IF(P23&gt;0,P19/P23,"CF positive")</f>
        <v>22.0915676869864</v>
      </c>
      <c r="Q24" s="24" t="n">
        <f aca="false">IF(Q23&gt;0,Q19/Q23,"CF positive")</f>
        <v>21.5023860674331</v>
      </c>
      <c r="R24" s="24" t="n">
        <f aca="false">IF(R23&gt;0,R19/R23,"CF positive")</f>
        <v>20.9314468701076</v>
      </c>
      <c r="S24" s="24" t="n">
        <f aca="false">IF(S23&gt;0,S19/S23,"CF positive")</f>
        <v>20.3803885713328</v>
      </c>
      <c r="T24" s="24" t="n">
        <f aca="false">IF(T23&gt;0,T19/T23,"CF positive")</f>
        <v>19.8511021487407</v>
      </c>
      <c r="U24" s="24" t="n">
        <f aca="false">IF(U23&gt;0,U19/U23,"CF positive")</f>
        <v>19.3457925129732</v>
      </c>
      <c r="V24" s="24" t="n">
        <f aca="false">IF(V23&gt;0,V19/V23,"CF positive")</f>
        <v>18.8670579602109</v>
      </c>
      <c r="W24" s="24" t="n">
        <f aca="false">IF(W23&gt;0,W19/W23,"CF positive")</f>
        <v>18.4179941417711</v>
      </c>
      <c r="X24" s="24" t="n">
        <f aca="false">IF(X23&gt;0,X19/X23,"CF positive")</f>
        <v>18.0023318705621</v>
      </c>
      <c r="Y24" s="24" t="n">
        <f aca="false">IF(Y23&gt;0,Y19/Y23,"CF positive")</f>
        <v>17.6246223674871</v>
      </c>
      <c r="Z24" s="24" t="n">
        <f aca="false">IF(Z23&gt;0,Z19/Z23,"CF positive")</f>
        <v>17.2904901836117</v>
      </c>
      <c r="AA24" s="24" t="n">
        <f aca="false">IF(AA23&gt;0,AA19/AA23,"CF positive")</f>
        <v>17.0069845408253</v>
      </c>
      <c r="AB24" s="24" t="n">
        <f aca="false">IF(AB23&gt;0,AB19/AB23,"CF positive")</f>
        <v>16.7830769037424</v>
      </c>
      <c r="AC24" s="24" t="n">
        <f aca="false">IF(AC23&gt;0,AC19/AC23,"CF positive")</f>
        <v>16.6303811235663</v>
      </c>
      <c r="AD24" s="24" t="n">
        <f aca="false">IF(AD23&gt;0,AD19/AD23,"CF positive")</f>
        <v>16.564221714801</v>
      </c>
      <c r="AE24" s="24" t="n">
        <f aca="false">IF(AE23&gt;0,AE19/AE23,"CF positive")</f>
        <v>16.6052638761562</v>
      </c>
      <c r="AF24" s="24" t="n">
        <f aca="false">IF(AF23&gt;0,AF19/AF23,"CF positive")</f>
        <v>16.7820830553833</v>
      </c>
      <c r="AG24" s="24" t="n">
        <f aca="false">IF(AG23&gt;0,AG19/AG23,"CF positive")</f>
        <v>17.1353731118587</v>
      </c>
      <c r="AH24" s="24" t="n">
        <f aca="false">IF(AH23&gt;0,AH19/AH23,"CF positive")</f>
        <v>17.7251572525674</v>
      </c>
      <c r="AI24" s="24" t="n">
        <f aca="false">IF(AI23&gt;0,AI19/AI23,"CF positive")</f>
        <v>18.6438390825915</v>
      </c>
      <c r="AJ24" s="24" t="n">
        <f aca="false">IF(AJ23&gt;0,AJ19/AJ23,"CF positive")</f>
        <v>20.0414732856113</v>
      </c>
      <c r="AK24" s="24" t="n">
        <f aca="false">IF(AK23&gt;0,AK19/AK23,"CF positive")</f>
        <v>22.1790723678829</v>
      </c>
      <c r="AL24" s="24" t="n">
        <f aca="false">IF(AL23&gt;0,AL19/AL23,"CF positive")</f>
        <v>25.5544699811046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2026-09-29T17:35:22Z</dcterms:created>
  <dc:creator>openpyxl</dc:creator>
  <dc:description/>
  <dc:language>en-US</dc:language>
  <cp:lastModifiedBy/>
  <dcterms:modified xsi:type="dcterms:W3CDTF">2026-09-29T17:35:24Z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